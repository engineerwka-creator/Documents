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in\OneDrive\Desktop\Rozwój_Osobisty\Wire Harnesses Engineer\"/>
    </mc:Choice>
  </mc:AlternateContent>
  <bookViews>
    <workbookView xWindow="0" yWindow="0" windowWidth="21570" windowHeight="8055" firstSheet="2" activeTab="2"/>
  </bookViews>
  <sheets>
    <sheet name="Kalkulacja 4TCAB" sheetId="6" state="hidden" r:id="rId1"/>
    <sheet name="Blok 10,16,18" sheetId="7" state="hidden" r:id="rId2"/>
    <sheet name="Kalkulacja cz.1." sheetId="13" r:id="rId3"/>
    <sheet name="Kalkulacja cz.2." sheetId="15" r:id="rId4"/>
    <sheet name="KALKULACJA cz.3" sheetId="16" state="hidden" r:id="rId5"/>
    <sheet name="kalkulacja 100pcs" sheetId="14" state="hidden" r:id="rId6"/>
    <sheet name="Zamówienie" sheetId="12" state="hidden" r:id="rId7"/>
    <sheet name="Kalkulacja cz.3." sheetId="18" r:id="rId8"/>
    <sheet name="Materiał" sheetId="17" r:id="rId9"/>
    <sheet name="Arkusz2" sheetId="11" state="hidden" r:id="rId10"/>
    <sheet name="Arkusz1" sheetId="10" state="hidden" r:id="rId11"/>
    <sheet name="Blok Nr2" sheetId="8" state="hidden" r:id="rId12"/>
    <sheet name="Blok Nr3" sheetId="9" state="hidden" r:id="rId1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3" l="1"/>
  <c r="K6" i="13"/>
  <c r="E82" i="18" l="1"/>
  <c r="E81" i="18"/>
  <c r="F81" i="18" s="1"/>
  <c r="G81" i="18" s="1"/>
  <c r="G80" i="18"/>
  <c r="E80" i="18"/>
  <c r="F80" i="18" s="1"/>
  <c r="E79" i="18"/>
  <c r="F79" i="18" s="1"/>
  <c r="G79" i="18" s="1"/>
  <c r="E78" i="18"/>
  <c r="E77" i="18"/>
  <c r="F77" i="18" s="1"/>
  <c r="G77" i="18" s="1"/>
  <c r="E76" i="18"/>
  <c r="F76" i="18" s="1"/>
  <c r="G76" i="18" s="1"/>
  <c r="E75" i="18"/>
  <c r="J11" i="18" s="1"/>
  <c r="E74" i="18"/>
  <c r="F74" i="18" s="1"/>
  <c r="G74" i="18" s="1"/>
  <c r="E73" i="18"/>
  <c r="F73" i="18" s="1"/>
  <c r="G73" i="18" s="1"/>
  <c r="E72" i="18"/>
  <c r="F72" i="18" s="1"/>
  <c r="G72" i="18" s="1"/>
  <c r="E71" i="18"/>
  <c r="F71" i="18" s="1"/>
  <c r="G71" i="18" s="1"/>
  <c r="E70" i="18"/>
  <c r="F70" i="18" s="1"/>
  <c r="G70" i="18" s="1"/>
  <c r="E69" i="18"/>
  <c r="F69" i="18" s="1"/>
  <c r="G69" i="18" s="1"/>
  <c r="E68" i="18"/>
  <c r="F68" i="18" s="1"/>
  <c r="G68" i="18" s="1"/>
  <c r="E67" i="18"/>
  <c r="K10" i="18" s="1"/>
  <c r="E66" i="18"/>
  <c r="F66" i="18" s="1"/>
  <c r="G66" i="18" s="1"/>
  <c r="E65" i="18"/>
  <c r="F65" i="18" s="1"/>
  <c r="G65" i="18" s="1"/>
  <c r="E64" i="18"/>
  <c r="F64" i="18" s="1"/>
  <c r="G64" i="18" s="1"/>
  <c r="E63" i="18"/>
  <c r="F63" i="18" s="1"/>
  <c r="G63" i="18" s="1"/>
  <c r="E62" i="18"/>
  <c r="P9" i="18" s="1"/>
  <c r="E61" i="18"/>
  <c r="F61" i="18" s="1"/>
  <c r="G61" i="18" s="1"/>
  <c r="E60" i="18"/>
  <c r="F60" i="18" s="1"/>
  <c r="G60" i="18" s="1"/>
  <c r="E59" i="18"/>
  <c r="F59" i="18" s="1"/>
  <c r="G59" i="18" s="1"/>
  <c r="E58" i="18"/>
  <c r="F58" i="18" s="1"/>
  <c r="G58" i="18" s="1"/>
  <c r="E57" i="18"/>
  <c r="F57" i="18" s="1"/>
  <c r="G57" i="18" s="1"/>
  <c r="E56" i="18"/>
  <c r="F56" i="18" s="1"/>
  <c r="G56" i="18" s="1"/>
  <c r="E55" i="18"/>
  <c r="F55" i="18" s="1"/>
  <c r="G55" i="18" s="1"/>
  <c r="E54" i="18"/>
  <c r="O8" i="18" s="1"/>
  <c r="E53" i="18"/>
  <c r="F53" i="18" s="1"/>
  <c r="G53" i="18" s="1"/>
  <c r="E52" i="18"/>
  <c r="F52" i="18" s="1"/>
  <c r="G52" i="18" s="1"/>
  <c r="E51" i="18"/>
  <c r="F51" i="18" s="1"/>
  <c r="G51" i="18" s="1"/>
  <c r="E50" i="18"/>
  <c r="F50" i="18" s="1"/>
  <c r="G50" i="18" s="1"/>
  <c r="E49" i="18"/>
  <c r="F49" i="18" s="1"/>
  <c r="G49" i="18" s="1"/>
  <c r="K48" i="18"/>
  <c r="J52" i="18" s="1"/>
  <c r="J53" i="18" s="1"/>
  <c r="E48" i="18"/>
  <c r="M47" i="18"/>
  <c r="L47" i="18"/>
  <c r="F47" i="18"/>
  <c r="G47" i="18" s="1"/>
  <c r="E47" i="18"/>
  <c r="S7" i="18" s="1"/>
  <c r="L46" i="18"/>
  <c r="M46" i="18" s="1"/>
  <c r="E46" i="18"/>
  <c r="R7" i="18" s="1"/>
  <c r="L45" i="18"/>
  <c r="M45" i="18" s="1"/>
  <c r="E45" i="18"/>
  <c r="F45" i="18" s="1"/>
  <c r="G45" i="18" s="1"/>
  <c r="L44" i="18"/>
  <c r="M44" i="18" s="1"/>
  <c r="E44" i="18"/>
  <c r="M43" i="18"/>
  <c r="L43" i="18"/>
  <c r="E43" i="18"/>
  <c r="O7" i="18" s="1"/>
  <c r="L42" i="18"/>
  <c r="M42" i="18" s="1"/>
  <c r="E42" i="18"/>
  <c r="F42" i="18" s="1"/>
  <c r="G42" i="18" s="1"/>
  <c r="L41" i="18"/>
  <c r="M41" i="18" s="1"/>
  <c r="E41" i="18"/>
  <c r="F41" i="18" s="1"/>
  <c r="G41" i="18" s="1"/>
  <c r="L40" i="18"/>
  <c r="L48" i="18" s="1"/>
  <c r="E40" i="18"/>
  <c r="M39" i="18"/>
  <c r="L39" i="18"/>
  <c r="E39" i="18"/>
  <c r="K7" i="18" s="1"/>
  <c r="E38" i="18"/>
  <c r="F38" i="18" s="1"/>
  <c r="G38" i="18" s="1"/>
  <c r="E37" i="18"/>
  <c r="F37" i="18" s="1"/>
  <c r="G37" i="18" s="1"/>
  <c r="K36" i="18"/>
  <c r="L36" i="18" s="1"/>
  <c r="E36" i="18"/>
  <c r="L35" i="18"/>
  <c r="K35" i="18"/>
  <c r="E35" i="18"/>
  <c r="F35" i="18" s="1"/>
  <c r="G35" i="18" s="1"/>
  <c r="K34" i="18"/>
  <c r="L34" i="18" s="1"/>
  <c r="E34" i="18"/>
  <c r="F34" i="18" s="1"/>
  <c r="G34" i="18" s="1"/>
  <c r="K33" i="18"/>
  <c r="L33" i="18" s="1"/>
  <c r="E33" i="18"/>
  <c r="F33" i="18" s="1"/>
  <c r="G33" i="18" s="1"/>
  <c r="N32" i="18"/>
  <c r="W8" i="18" s="1"/>
  <c r="L32" i="18"/>
  <c r="K32" i="18"/>
  <c r="E32" i="18"/>
  <c r="Q6" i="18" s="1"/>
  <c r="K31" i="18"/>
  <c r="L31" i="18" s="1"/>
  <c r="F31" i="18"/>
  <c r="G31" i="18" s="1"/>
  <c r="E31" i="18"/>
  <c r="K30" i="18"/>
  <c r="L30" i="18" s="1"/>
  <c r="E30" i="18"/>
  <c r="F30" i="18" s="1"/>
  <c r="G30" i="18" s="1"/>
  <c r="K29" i="18"/>
  <c r="L29" i="18" s="1"/>
  <c r="E29" i="18"/>
  <c r="L28" i="18"/>
  <c r="K28" i="18"/>
  <c r="F28" i="18"/>
  <c r="G28" i="18" s="1"/>
  <c r="E28" i="18"/>
  <c r="M6" i="18" s="1"/>
  <c r="K27" i="18"/>
  <c r="L27" i="18" s="1"/>
  <c r="E27" i="18"/>
  <c r="F27" i="18" s="1"/>
  <c r="G27" i="18" s="1"/>
  <c r="K26" i="18"/>
  <c r="L26" i="18" s="1"/>
  <c r="E26" i="18"/>
  <c r="F26" i="18" s="1"/>
  <c r="G26" i="18" s="1"/>
  <c r="E25" i="18"/>
  <c r="J6" i="18" s="1"/>
  <c r="E24" i="18"/>
  <c r="F24" i="18" s="1"/>
  <c r="G24" i="18" s="1"/>
  <c r="E23" i="18"/>
  <c r="E22" i="18"/>
  <c r="F22" i="18" s="1"/>
  <c r="G22" i="18" s="1"/>
  <c r="X21" i="18"/>
  <c r="N21" i="18"/>
  <c r="Y21" i="18" s="1"/>
  <c r="L21" i="18"/>
  <c r="P21" i="18" s="1"/>
  <c r="E21" i="18"/>
  <c r="F21" i="18" s="1"/>
  <c r="G21" i="18" s="1"/>
  <c r="Y20" i="18"/>
  <c r="X20" i="18"/>
  <c r="P20" i="18"/>
  <c r="N20" i="18"/>
  <c r="W20" i="18" s="1"/>
  <c r="L20" i="18"/>
  <c r="E20" i="18"/>
  <c r="O5" i="18" s="1"/>
  <c r="X19" i="18"/>
  <c r="W19" i="18"/>
  <c r="P19" i="18"/>
  <c r="N19" i="18"/>
  <c r="Y19" i="18" s="1"/>
  <c r="L19" i="18"/>
  <c r="F19" i="18"/>
  <c r="G19" i="18" s="1"/>
  <c r="E19" i="18"/>
  <c r="E18" i="18"/>
  <c r="F18" i="18" s="1"/>
  <c r="G18" i="18" s="1"/>
  <c r="E17" i="18"/>
  <c r="F17" i="18" s="1"/>
  <c r="G17" i="18" s="1"/>
  <c r="E16" i="18"/>
  <c r="K5" i="18" s="1"/>
  <c r="E15" i="18"/>
  <c r="J5" i="18" s="1"/>
  <c r="E14" i="18"/>
  <c r="F14" i="18" s="1"/>
  <c r="G14" i="18" s="1"/>
  <c r="E13" i="18"/>
  <c r="F13" i="18" s="1"/>
  <c r="G13" i="18" s="1"/>
  <c r="F12" i="18"/>
  <c r="G12" i="18" s="1"/>
  <c r="E12" i="18"/>
  <c r="O11" i="18"/>
  <c r="N11" i="18"/>
  <c r="E11" i="18"/>
  <c r="R10" i="18"/>
  <c r="Q10" i="18"/>
  <c r="O10" i="18"/>
  <c r="G10" i="18"/>
  <c r="E10" i="18"/>
  <c r="F10" i="18" s="1"/>
  <c r="Q9" i="18"/>
  <c r="O9" i="18"/>
  <c r="N9" i="18"/>
  <c r="M9" i="18"/>
  <c r="E9" i="18"/>
  <c r="F9" i="18" s="1"/>
  <c r="G9" i="18" s="1"/>
  <c r="N8" i="18"/>
  <c r="L8" i="18"/>
  <c r="F8" i="18"/>
  <c r="G8" i="18" s="1"/>
  <c r="E8" i="18"/>
  <c r="Q7" i="18"/>
  <c r="N7" i="18"/>
  <c r="E7" i="18"/>
  <c r="F7" i="18" s="1"/>
  <c r="G7" i="18" s="1"/>
  <c r="W6" i="18"/>
  <c r="R6" i="18"/>
  <c r="P6" i="18"/>
  <c r="K6" i="18"/>
  <c r="E6" i="18"/>
  <c r="F6" i="18" s="1"/>
  <c r="G6" i="18" s="1"/>
  <c r="S5" i="18"/>
  <c r="Q5" i="18"/>
  <c r="N5" i="18"/>
  <c r="M5" i="18"/>
  <c r="L5" i="18"/>
  <c r="E5" i="18"/>
  <c r="F5" i="18" s="1"/>
  <c r="G5" i="18" s="1"/>
  <c r="V4" i="18"/>
  <c r="U4" i="18"/>
  <c r="T4" i="18"/>
  <c r="R4" i="18"/>
  <c r="P4" i="18"/>
  <c r="N4" i="18"/>
  <c r="M4" i="18"/>
  <c r="E4" i="18"/>
  <c r="L4" i="18" s="1"/>
  <c r="E3" i="18"/>
  <c r="K4" i="18" s="1"/>
  <c r="AF2" i="18"/>
  <c r="E2" i="18"/>
  <c r="F2" i="18" s="1"/>
  <c r="G2" i="18" s="1"/>
  <c r="M8" i="18" l="1"/>
  <c r="J10" i="18"/>
  <c r="K11" i="18"/>
  <c r="M10" i="18"/>
  <c r="Q4" i="18"/>
  <c r="L6" i="18"/>
  <c r="S6" i="18"/>
  <c r="J9" i="18"/>
  <c r="R9" i="18"/>
  <c r="N10" i="18"/>
  <c r="F25" i="18"/>
  <c r="G25" i="18" s="1"/>
  <c r="F46" i="18"/>
  <c r="G46" i="18" s="1"/>
  <c r="F54" i="18"/>
  <c r="G54" i="18" s="1"/>
  <c r="F62" i="18"/>
  <c r="G62" i="18" s="1"/>
  <c r="F67" i="18"/>
  <c r="G67" i="18" s="1"/>
  <c r="F75" i="18"/>
  <c r="G75" i="18" s="1"/>
  <c r="F3" i="18"/>
  <c r="G3" i="18" s="1"/>
  <c r="O6" i="18"/>
  <c r="V6" i="18"/>
  <c r="J7" i="18"/>
  <c r="J8" i="18"/>
  <c r="K9" i="18"/>
  <c r="S9" i="18"/>
  <c r="F16" i="18"/>
  <c r="G16" i="18" s="1"/>
  <c r="O4" i="18"/>
  <c r="P5" i="18"/>
  <c r="M7" i="18"/>
  <c r="K8" i="18"/>
  <c r="P8" i="18"/>
  <c r="L9" i="18"/>
  <c r="L10" i="18"/>
  <c r="P10" i="18"/>
  <c r="F39" i="18"/>
  <c r="G39" i="18" s="1"/>
  <c r="K52" i="18"/>
  <c r="K53" i="18" s="1"/>
  <c r="AF4" i="18"/>
  <c r="F78" i="18"/>
  <c r="G78" i="18" s="1"/>
  <c r="M11" i="18"/>
  <c r="F20" i="18"/>
  <c r="G20" i="18" s="1"/>
  <c r="F36" i="18"/>
  <c r="G36" i="18" s="1"/>
  <c r="U6" i="18"/>
  <c r="J4" i="18"/>
  <c r="W5" i="18"/>
  <c r="T6" i="18"/>
  <c r="F29" i="18"/>
  <c r="G29" i="18" s="1"/>
  <c r="N6" i="18"/>
  <c r="F40" i="18"/>
  <c r="G40" i="18" s="1"/>
  <c r="L7" i="18"/>
  <c r="F48" i="18"/>
  <c r="G48" i="18" s="1"/>
  <c r="T7" i="18"/>
  <c r="Y5" i="18"/>
  <c r="Z5" i="18" s="1"/>
  <c r="F11" i="18"/>
  <c r="G11" i="18" s="1"/>
  <c r="S4" i="18"/>
  <c r="F15" i="18"/>
  <c r="G15" i="18" s="1"/>
  <c r="W21" i="18"/>
  <c r="W10" i="18"/>
  <c r="Y10" i="18" s="1"/>
  <c r="Z10" i="18" s="1"/>
  <c r="W4" i="18"/>
  <c r="M40" i="18"/>
  <c r="F44" i="18"/>
  <c r="G44" i="18" s="1"/>
  <c r="P7" i="18"/>
  <c r="W7" i="18"/>
  <c r="W9" i="18"/>
  <c r="W11" i="18"/>
  <c r="F23" i="18"/>
  <c r="G23" i="18" s="1"/>
  <c r="R5" i="18"/>
  <c r="F32" i="18"/>
  <c r="G32" i="18" s="1"/>
  <c r="M48" i="18"/>
  <c r="F43" i="18"/>
  <c r="G43" i="18" s="1"/>
  <c r="Q11" i="18"/>
  <c r="F82" i="18"/>
  <c r="G82" i="18" s="1"/>
  <c r="F4" i="18"/>
  <c r="G4" i="18" s="1"/>
  <c r="L11" i="18"/>
  <c r="Y11" i="18" s="1"/>
  <c r="Z11" i="18" s="1"/>
  <c r="P11" i="18"/>
  <c r="Y8" i="18" l="1"/>
  <c r="Z8" i="18" s="1"/>
  <c r="AA8" i="18" s="1"/>
  <c r="Y7" i="18"/>
  <c r="Z7" i="18" s="1"/>
  <c r="AC7" i="18" s="1"/>
  <c r="Y9" i="18"/>
  <c r="Z9" i="18" s="1"/>
  <c r="AC9" i="18" s="1"/>
  <c r="Y6" i="18"/>
  <c r="Z6" i="18" s="1"/>
  <c r="AA6" i="18" s="1"/>
  <c r="AD11" i="18"/>
  <c r="AA11" i="18"/>
  <c r="AC11" i="18"/>
  <c r="AB11" i="18"/>
  <c r="AB10" i="18"/>
  <c r="AC10" i="18"/>
  <c r="AD10" i="18"/>
  <c r="AA10" i="18"/>
  <c r="AC5" i="18"/>
  <c r="AD5" i="18"/>
  <c r="AA5" i="18"/>
  <c r="AB5" i="18"/>
  <c r="AC8" i="18"/>
  <c r="AF6" i="18"/>
  <c r="L52" i="18"/>
  <c r="L53" i="18" s="1"/>
  <c r="Y4" i="18"/>
  <c r="AB8" i="18" l="1"/>
  <c r="AD8" i="18"/>
  <c r="AA9" i="18"/>
  <c r="AB9" i="18"/>
  <c r="AD9" i="18"/>
  <c r="AB7" i="18"/>
  <c r="AA7" i="18"/>
  <c r="AD7" i="18"/>
  <c r="AD6" i="18"/>
  <c r="AB6" i="18"/>
  <c r="AC6" i="18"/>
  <c r="Y15" i="18"/>
  <c r="Z4" i="18"/>
  <c r="AB4" i="18" l="1"/>
  <c r="AC4" i="18"/>
  <c r="Z15" i="18"/>
  <c r="AD4" i="18"/>
  <c r="AD15" i="18" s="1"/>
  <c r="AA4" i="18"/>
  <c r="AD16" i="18" l="1"/>
  <c r="AG2" i="18"/>
  <c r="AG4" i="18" l="1"/>
  <c r="AH2" i="18"/>
  <c r="AH4" i="18" l="1"/>
  <c r="AG6" i="18" s="1"/>
  <c r="AH6" i="18" s="1"/>
  <c r="AH9" i="18" s="1"/>
  <c r="AG9" i="18"/>
  <c r="AG15" i="18" l="1"/>
  <c r="AG18" i="18" l="1"/>
  <c r="AH16" i="18"/>
  <c r="V4" i="15" l="1"/>
  <c r="T4" i="15"/>
  <c r="E14" i="15"/>
  <c r="F14" i="15" s="1"/>
  <c r="G14" i="15" s="1"/>
  <c r="E13" i="15"/>
  <c r="F13" i="15" s="1"/>
  <c r="G13" i="15" s="1"/>
  <c r="E12" i="15"/>
  <c r="F12" i="15" s="1"/>
  <c r="G12" i="15" s="1"/>
  <c r="U4" i="15" l="1"/>
  <c r="E82" i="15"/>
  <c r="Q11" i="15" s="1"/>
  <c r="F82" i="15"/>
  <c r="G82" i="15" s="1"/>
  <c r="E81" i="15"/>
  <c r="F81" i="15" s="1"/>
  <c r="G81" i="15" s="1"/>
  <c r="E80" i="15"/>
  <c r="F80" i="15" s="1"/>
  <c r="G80" i="15" s="1"/>
  <c r="E79" i="15"/>
  <c r="F79" i="15" s="1"/>
  <c r="G79" i="15" s="1"/>
  <c r="E78" i="15"/>
  <c r="F78" i="15" s="1"/>
  <c r="G78" i="15" s="1"/>
  <c r="E77" i="15"/>
  <c r="F77" i="15" s="1"/>
  <c r="G77" i="15" s="1"/>
  <c r="E76" i="15"/>
  <c r="F76" i="15" s="1"/>
  <c r="G76" i="15" s="1"/>
  <c r="E75" i="15"/>
  <c r="F75" i="15" s="1"/>
  <c r="G75" i="15" s="1"/>
  <c r="O11" i="15" l="1"/>
  <c r="P11" i="15"/>
  <c r="N11" i="15"/>
  <c r="L11" i="15"/>
  <c r="K11" i="15"/>
  <c r="J11" i="15"/>
  <c r="M11" i="15"/>
  <c r="E74" i="15"/>
  <c r="F74" i="15" s="1"/>
  <c r="G74" i="15" s="1"/>
  <c r="E73" i="15"/>
  <c r="E72" i="15"/>
  <c r="F72" i="15" s="1"/>
  <c r="G72" i="15" s="1"/>
  <c r="E71" i="15"/>
  <c r="F71" i="15" s="1"/>
  <c r="G71" i="15" s="1"/>
  <c r="E70" i="15"/>
  <c r="F70" i="15" s="1"/>
  <c r="G70" i="15" s="1"/>
  <c r="E69" i="15"/>
  <c r="E68" i="15"/>
  <c r="F68" i="15" s="1"/>
  <c r="G68" i="15" s="1"/>
  <c r="E67" i="15"/>
  <c r="F67" i="15" s="1"/>
  <c r="G67" i="15" s="1"/>
  <c r="E66" i="15"/>
  <c r="J10" i="15" s="1"/>
  <c r="E65" i="15"/>
  <c r="F65" i="15" s="1"/>
  <c r="G65" i="15" s="1"/>
  <c r="E64" i="15"/>
  <c r="F64" i="15" s="1"/>
  <c r="G64" i="15" s="1"/>
  <c r="E63" i="15"/>
  <c r="F63" i="15" s="1"/>
  <c r="G63" i="15" s="1"/>
  <c r="E62" i="15"/>
  <c r="F62" i="15" s="1"/>
  <c r="G62" i="15" s="1"/>
  <c r="E61" i="15"/>
  <c r="F61" i="15" s="1"/>
  <c r="G61" i="15" s="1"/>
  <c r="E60" i="15"/>
  <c r="F60" i="15" s="1"/>
  <c r="G60" i="15" s="1"/>
  <c r="E59" i="15"/>
  <c r="F59" i="15" s="1"/>
  <c r="G59" i="15" s="1"/>
  <c r="E58" i="15"/>
  <c r="L9" i="15" s="1"/>
  <c r="E57" i="15"/>
  <c r="F57" i="15" s="1"/>
  <c r="G57" i="15" s="1"/>
  <c r="E56" i="15"/>
  <c r="F56" i="15" s="1"/>
  <c r="G56" i="15" s="1"/>
  <c r="E55" i="15"/>
  <c r="E54" i="15"/>
  <c r="F54" i="15" s="1"/>
  <c r="G54" i="15" s="1"/>
  <c r="E53" i="15"/>
  <c r="F53" i="15" s="1"/>
  <c r="G53" i="15" s="1"/>
  <c r="E52" i="15"/>
  <c r="F52" i="15" s="1"/>
  <c r="G52" i="15" s="1"/>
  <c r="E51" i="15"/>
  <c r="F51" i="15" s="1"/>
  <c r="G51" i="15" s="1"/>
  <c r="E50" i="15"/>
  <c r="K8" i="15" s="1"/>
  <c r="E49" i="15"/>
  <c r="F49" i="15" s="1"/>
  <c r="G49" i="15" s="1"/>
  <c r="E48" i="15"/>
  <c r="F48" i="15" s="1"/>
  <c r="G48" i="15" s="1"/>
  <c r="E47" i="15"/>
  <c r="F47" i="15" s="1"/>
  <c r="G47" i="15" s="1"/>
  <c r="E46" i="15"/>
  <c r="F46" i="15" s="1"/>
  <c r="G46" i="15" s="1"/>
  <c r="E45" i="15"/>
  <c r="F45" i="15" s="1"/>
  <c r="G45" i="15" s="1"/>
  <c r="E44" i="15"/>
  <c r="F44" i="15" s="1"/>
  <c r="G44" i="15" s="1"/>
  <c r="E43" i="15"/>
  <c r="F43" i="15" s="1"/>
  <c r="G43" i="15" s="1"/>
  <c r="E42" i="15"/>
  <c r="N7" i="15" s="1"/>
  <c r="E41" i="15"/>
  <c r="F41" i="15" s="1"/>
  <c r="G41" i="15" s="1"/>
  <c r="E40" i="15"/>
  <c r="F40" i="15" s="1"/>
  <c r="G40" i="15" s="1"/>
  <c r="E39" i="15"/>
  <c r="F39" i="15" s="1"/>
  <c r="G39" i="15" s="1"/>
  <c r="E38" i="15"/>
  <c r="J7" i="15" s="1"/>
  <c r="E34" i="15"/>
  <c r="F34" i="15" s="1"/>
  <c r="G34" i="15" s="1"/>
  <c r="E33" i="15"/>
  <c r="F33" i="15" s="1"/>
  <c r="G33" i="15" s="1"/>
  <c r="E32" i="15"/>
  <c r="F32" i="15" s="1"/>
  <c r="G32" i="15" s="1"/>
  <c r="E31" i="15"/>
  <c r="F31" i="15" s="1"/>
  <c r="G31" i="15" s="1"/>
  <c r="E30" i="15"/>
  <c r="F30" i="15" s="1"/>
  <c r="G30" i="15" s="1"/>
  <c r="E29" i="15"/>
  <c r="F29" i="15" s="1"/>
  <c r="G29" i="15" s="1"/>
  <c r="E28" i="15"/>
  <c r="F28" i="15" s="1"/>
  <c r="G28" i="15" s="1"/>
  <c r="E27" i="15"/>
  <c r="F27" i="15" s="1"/>
  <c r="G27" i="15" s="1"/>
  <c r="E26" i="15"/>
  <c r="F26" i="15" s="1"/>
  <c r="G26" i="15" s="1"/>
  <c r="E25" i="15"/>
  <c r="J6" i="15" s="1"/>
  <c r="E15" i="15"/>
  <c r="J5" i="15" s="1"/>
  <c r="E35" i="15"/>
  <c r="F35" i="15" s="1"/>
  <c r="G35" i="15" s="1"/>
  <c r="E36" i="15"/>
  <c r="F36" i="15" s="1"/>
  <c r="G36" i="15" s="1"/>
  <c r="E37" i="15"/>
  <c r="F37" i="15" s="1"/>
  <c r="G37" i="15" s="1"/>
  <c r="F69" i="15" l="1"/>
  <c r="G69" i="15" s="1"/>
  <c r="M10" i="15"/>
  <c r="F73" i="15"/>
  <c r="G73" i="15" s="1"/>
  <c r="Q10" i="15"/>
  <c r="F55" i="15"/>
  <c r="G55" i="15" s="1"/>
  <c r="P8" i="15"/>
  <c r="L8" i="15"/>
  <c r="K7" i="15"/>
  <c r="K6" i="15"/>
  <c r="O10" i="15"/>
  <c r="F38" i="15"/>
  <c r="G38" i="15" s="1"/>
  <c r="M6" i="15"/>
  <c r="M7" i="15"/>
  <c r="K9" i="15"/>
  <c r="F25" i="15"/>
  <c r="G25" i="15" s="1"/>
  <c r="F50" i="15"/>
  <c r="G50" i="15" s="1"/>
  <c r="Q6" i="15"/>
  <c r="K10" i="15"/>
  <c r="F66" i="15"/>
  <c r="G66" i="15" s="1"/>
  <c r="T6" i="15"/>
  <c r="N8" i="15"/>
  <c r="U6" i="15"/>
  <c r="O7" i="15"/>
  <c r="S7" i="15"/>
  <c r="M9" i="15"/>
  <c r="Q9" i="15"/>
  <c r="F58" i="15"/>
  <c r="G58" i="15" s="1"/>
  <c r="O6" i="15"/>
  <c r="R6" i="15"/>
  <c r="V6" i="15"/>
  <c r="L7" i="15"/>
  <c r="P7" i="15"/>
  <c r="T7" i="15"/>
  <c r="M8" i="15"/>
  <c r="J9" i="15"/>
  <c r="N9" i="15"/>
  <c r="R9" i="15"/>
  <c r="L10" i="15"/>
  <c r="P10" i="15"/>
  <c r="N6" i="15"/>
  <c r="Q7" i="15"/>
  <c r="J8" i="15"/>
  <c r="O9" i="15"/>
  <c r="S9" i="15"/>
  <c r="F42" i="15"/>
  <c r="G42" i="15" s="1"/>
  <c r="L6" i="15"/>
  <c r="P6" i="15"/>
  <c r="S6" i="15"/>
  <c r="R7" i="15"/>
  <c r="O8" i="15"/>
  <c r="P9" i="15"/>
  <c r="N10" i="15"/>
  <c r="R10" i="15"/>
  <c r="N32" i="15"/>
  <c r="E9" i="15"/>
  <c r="Q4" i="15" s="1"/>
  <c r="W8" i="15" l="1"/>
  <c r="Y8" i="15" s="1"/>
  <c r="W5" i="15"/>
  <c r="W11" i="15"/>
  <c r="W7" i="15"/>
  <c r="Y7" i="15" s="1"/>
  <c r="W4" i="15"/>
  <c r="W10" i="15"/>
  <c r="Y10" i="15" s="1"/>
  <c r="W6" i="15"/>
  <c r="Y6" i="15" s="1"/>
  <c r="W9" i="15"/>
  <c r="Y9" i="15" s="1"/>
  <c r="K48" i="15"/>
  <c r="J52" i="15" s="1"/>
  <c r="Y11" i="15" l="1"/>
  <c r="Z11" i="15" s="1"/>
  <c r="Z10" i="15"/>
  <c r="H36" i="12" l="1"/>
  <c r="H35" i="12"/>
  <c r="H33" i="12"/>
  <c r="H30" i="12"/>
  <c r="H29" i="12"/>
  <c r="H28" i="12"/>
  <c r="H34" i="12"/>
  <c r="H31" i="12"/>
  <c r="E24" i="15" l="1"/>
  <c r="F24" i="15" l="1"/>
  <c r="G24" i="15" s="1"/>
  <c r="S5" i="15"/>
  <c r="AF2" i="15"/>
  <c r="L47" i="15"/>
  <c r="M47" i="15" s="1"/>
  <c r="L46" i="15"/>
  <c r="M46" i="15" s="1"/>
  <c r="L45" i="15"/>
  <c r="M45" i="15" s="1"/>
  <c r="L44" i="15"/>
  <c r="M44" i="15" s="1"/>
  <c r="L43" i="15"/>
  <c r="M43" i="15" s="1"/>
  <c r="L42" i="15"/>
  <c r="M42" i="15" s="1"/>
  <c r="L41" i="15"/>
  <c r="M41" i="15" s="1"/>
  <c r="L40" i="15"/>
  <c r="M40" i="15" s="1"/>
  <c r="L39" i="15"/>
  <c r="K36" i="15"/>
  <c r="L36" i="15" s="1"/>
  <c r="K35" i="15"/>
  <c r="L35" i="15" s="1"/>
  <c r="K34" i="15"/>
  <c r="L34" i="15" s="1"/>
  <c r="K33" i="15"/>
  <c r="L33" i="15" s="1"/>
  <c r="K32" i="15"/>
  <c r="L32" i="15" s="1"/>
  <c r="K31" i="15"/>
  <c r="L31" i="15" s="1"/>
  <c r="K30" i="15"/>
  <c r="L30" i="15" s="1"/>
  <c r="K29" i="15"/>
  <c r="L29" i="15" s="1"/>
  <c r="K28" i="15"/>
  <c r="L28" i="15" s="1"/>
  <c r="K27" i="15"/>
  <c r="L27" i="15" s="1"/>
  <c r="K26" i="15"/>
  <c r="L26" i="15" s="1"/>
  <c r="E23" i="15"/>
  <c r="R5" i="15" s="1"/>
  <c r="E22" i="15"/>
  <c r="Q5" i="15" s="1"/>
  <c r="X21" i="15"/>
  <c r="N21" i="15"/>
  <c r="Y21" i="15" s="1"/>
  <c r="L21" i="15"/>
  <c r="P21" i="15" s="1"/>
  <c r="E21" i="15"/>
  <c r="X20" i="15"/>
  <c r="N20" i="15"/>
  <c r="Y20" i="15" s="1"/>
  <c r="L20" i="15"/>
  <c r="P20" i="15" s="1"/>
  <c r="E20" i="15"/>
  <c r="X19" i="15"/>
  <c r="N19" i="15"/>
  <c r="L19" i="15"/>
  <c r="P19" i="15" s="1"/>
  <c r="E19" i="15"/>
  <c r="E18" i="15"/>
  <c r="E17" i="15"/>
  <c r="L5" i="15" s="1"/>
  <c r="E16" i="15"/>
  <c r="AC11" i="15"/>
  <c r="E11" i="15"/>
  <c r="AD10" i="15"/>
  <c r="AC10" i="15"/>
  <c r="AB10" i="15"/>
  <c r="AA10" i="15"/>
  <c r="E10" i="15"/>
  <c r="Z9" i="15"/>
  <c r="AD9" i="15" s="1"/>
  <c r="F9" i="15"/>
  <c r="G9" i="15" s="1"/>
  <c r="E8" i="15"/>
  <c r="P4" i="15" s="1"/>
  <c r="E7" i="15"/>
  <c r="E6" i="15"/>
  <c r="N4" i="15" s="1"/>
  <c r="E5" i="15"/>
  <c r="M4" i="15" s="1"/>
  <c r="E4" i="15"/>
  <c r="L4" i="15" s="1"/>
  <c r="E3" i="15"/>
  <c r="E2" i="15"/>
  <c r="F19" i="15" l="1"/>
  <c r="G19" i="15" s="1"/>
  <c r="N5" i="15"/>
  <c r="F17" i="15"/>
  <c r="G17" i="15" s="1"/>
  <c r="F18" i="15"/>
  <c r="G18" i="15" s="1"/>
  <c r="M5" i="15"/>
  <c r="W20" i="15"/>
  <c r="F20" i="15"/>
  <c r="G20" i="15" s="1"/>
  <c r="O5" i="15"/>
  <c r="F16" i="15"/>
  <c r="G16" i="15" s="1"/>
  <c r="K5" i="15"/>
  <c r="F21" i="15"/>
  <c r="G21" i="15" s="1"/>
  <c r="P5" i="15"/>
  <c r="AB9" i="15"/>
  <c r="AC9" i="15"/>
  <c r="F10" i="15"/>
  <c r="G10" i="15" s="1"/>
  <c r="R4" i="15"/>
  <c r="W21" i="15"/>
  <c r="F3" i="15"/>
  <c r="G3" i="15" s="1"/>
  <c r="K4" i="15"/>
  <c r="F2" i="15"/>
  <c r="G2" i="15" s="1"/>
  <c r="J4" i="15"/>
  <c r="F11" i="15"/>
  <c r="G11" i="15" s="1"/>
  <c r="S4" i="15"/>
  <c r="W19" i="15"/>
  <c r="F7" i="15"/>
  <c r="G7" i="15" s="1"/>
  <c r="O4" i="15"/>
  <c r="AA9" i="15"/>
  <c r="AB11" i="15"/>
  <c r="AA11" i="15"/>
  <c r="Z8" i="15"/>
  <c r="F23" i="15"/>
  <c r="G23" i="15" s="1"/>
  <c r="F8" i="15"/>
  <c r="G8" i="15" s="1"/>
  <c r="F5" i="15"/>
  <c r="G5" i="15" s="1"/>
  <c r="J53" i="15"/>
  <c r="L48" i="15"/>
  <c r="AF4" i="15" s="1"/>
  <c r="F15" i="15"/>
  <c r="G15" i="15" s="1"/>
  <c r="Y19" i="15"/>
  <c r="F22" i="15"/>
  <c r="G22" i="15" s="1"/>
  <c r="M39" i="15"/>
  <c r="M48" i="15" s="1"/>
  <c r="F4" i="15"/>
  <c r="G4" i="15" s="1"/>
  <c r="F6" i="15"/>
  <c r="G6" i="15" s="1"/>
  <c r="Z6" i="15"/>
  <c r="Z7" i="15"/>
  <c r="AD11" i="15"/>
  <c r="U35" i="12"/>
  <c r="U36" i="12" s="1"/>
  <c r="Y5" i="15" l="1"/>
  <c r="Z5" i="15" s="1"/>
  <c r="AA5" i="15" s="1"/>
  <c r="Y4" i="15"/>
  <c r="Z4" i="15" s="1"/>
  <c r="K52" i="15"/>
  <c r="K53" i="15" s="1"/>
  <c r="AD7" i="15"/>
  <c r="AA7" i="15"/>
  <c r="AA8" i="15"/>
  <c r="AD8" i="15"/>
  <c r="AD6" i="15"/>
  <c r="AA6" i="15"/>
  <c r="AB8" i="15"/>
  <c r="AC8" i="15"/>
  <c r="AC7" i="15"/>
  <c r="AB7" i="15"/>
  <c r="AC6" i="15"/>
  <c r="AB6" i="15"/>
  <c r="L52" i="15"/>
  <c r="L53" i="15" s="1"/>
  <c r="AF6" i="15"/>
  <c r="O4" i="12"/>
  <c r="O5" i="12"/>
  <c r="O6" i="12"/>
  <c r="O7" i="12"/>
  <c r="O8" i="12"/>
  <c r="O9" i="12"/>
  <c r="O3" i="12"/>
  <c r="N4" i="12"/>
  <c r="N5" i="12"/>
  <c r="N6" i="12"/>
  <c r="N7" i="12"/>
  <c r="N8" i="12"/>
  <c r="N9" i="12"/>
  <c r="N3" i="12"/>
  <c r="M4" i="12"/>
  <c r="M5" i="12"/>
  <c r="M6" i="12"/>
  <c r="M7" i="12"/>
  <c r="M8" i="12"/>
  <c r="M9" i="12"/>
  <c r="M3" i="12"/>
  <c r="L4" i="12"/>
  <c r="L5" i="12"/>
  <c r="L6" i="12"/>
  <c r="L7" i="12"/>
  <c r="L8" i="12"/>
  <c r="L9" i="12"/>
  <c r="L3" i="12"/>
  <c r="K4" i="12"/>
  <c r="K5" i="12"/>
  <c r="K6" i="12"/>
  <c r="K7" i="12"/>
  <c r="K8" i="12"/>
  <c r="K9" i="12"/>
  <c r="K3" i="12"/>
  <c r="J9" i="12"/>
  <c r="J8" i="12"/>
  <c r="J7" i="12"/>
  <c r="J6" i="12"/>
  <c r="J5" i="12"/>
  <c r="J4" i="12"/>
  <c r="J3" i="12"/>
  <c r="AC4" i="15" l="1"/>
  <c r="Z15" i="15"/>
  <c r="AC5" i="15"/>
  <c r="AD5" i="15"/>
  <c r="AB5" i="15"/>
  <c r="AB4" i="15"/>
  <c r="AD4" i="15"/>
  <c r="AA4" i="15"/>
  <c r="Y15" i="15"/>
  <c r="AA14" i="16"/>
  <c r="E22" i="16"/>
  <c r="AD15" i="15" l="1"/>
  <c r="AG2" i="15" s="1"/>
  <c r="AH2" i="15" s="1"/>
  <c r="L8" i="16"/>
  <c r="K8" i="16"/>
  <c r="L45" i="16"/>
  <c r="M45" i="16" s="1"/>
  <c r="M44" i="16"/>
  <c r="L44" i="16"/>
  <c r="L43" i="16"/>
  <c r="M43" i="16" s="1"/>
  <c r="M42" i="16"/>
  <c r="L42" i="16"/>
  <c r="L41" i="16"/>
  <c r="M41" i="16" s="1"/>
  <c r="M40" i="16"/>
  <c r="L40" i="16"/>
  <c r="L38" i="16"/>
  <c r="M38" i="16" s="1"/>
  <c r="L37" i="16"/>
  <c r="M37" i="16" s="1"/>
  <c r="K34" i="16"/>
  <c r="L34" i="16" s="1"/>
  <c r="K33" i="16"/>
  <c r="L33" i="16" s="1"/>
  <c r="K32" i="16"/>
  <c r="L32" i="16" s="1"/>
  <c r="K31" i="16"/>
  <c r="L31" i="16" s="1"/>
  <c r="N30" i="16"/>
  <c r="P8" i="16" s="1"/>
  <c r="K30" i="16"/>
  <c r="L30" i="16" s="1"/>
  <c r="L29" i="16"/>
  <c r="K29" i="16"/>
  <c r="K28" i="16"/>
  <c r="L28" i="16" s="1"/>
  <c r="K27" i="16"/>
  <c r="L27" i="16" s="1"/>
  <c r="K26" i="16"/>
  <c r="L26" i="16" s="1"/>
  <c r="L25" i="16"/>
  <c r="K25" i="16"/>
  <c r="K24" i="16"/>
  <c r="L24" i="16" s="1"/>
  <c r="E21" i="16"/>
  <c r="F21" i="16" s="1"/>
  <c r="G21" i="16" s="1"/>
  <c r="E20" i="16"/>
  <c r="Q19" i="16"/>
  <c r="P19" i="16"/>
  <c r="O19" i="16"/>
  <c r="N19" i="16"/>
  <c r="R19" i="16" s="1"/>
  <c r="L19" i="16"/>
  <c r="E19" i="16"/>
  <c r="F19" i="16" s="1"/>
  <c r="G19" i="16" s="1"/>
  <c r="Q18" i="16"/>
  <c r="N18" i="16"/>
  <c r="R18" i="16" s="1"/>
  <c r="L18" i="16"/>
  <c r="O18" i="16" s="1"/>
  <c r="E18" i="16"/>
  <c r="F18" i="16" s="1"/>
  <c r="G18" i="16" s="1"/>
  <c r="R17" i="16"/>
  <c r="Q17" i="16"/>
  <c r="N17" i="16"/>
  <c r="L17" i="16"/>
  <c r="O17" i="16" s="1"/>
  <c r="E17" i="16"/>
  <c r="E16" i="16"/>
  <c r="F16" i="16" s="1"/>
  <c r="G16" i="16" s="1"/>
  <c r="E15" i="16"/>
  <c r="F15" i="16" s="1"/>
  <c r="G15" i="16" s="1"/>
  <c r="E14" i="16"/>
  <c r="M8" i="16" s="1"/>
  <c r="E13" i="16"/>
  <c r="F13" i="16" s="1"/>
  <c r="G13" i="16" s="1"/>
  <c r="V12" i="16"/>
  <c r="U12" i="16"/>
  <c r="S12" i="16"/>
  <c r="T12" i="16" s="1"/>
  <c r="E12" i="16"/>
  <c r="V11" i="16"/>
  <c r="U11" i="16"/>
  <c r="S11" i="16"/>
  <c r="T11" i="16" s="1"/>
  <c r="E11" i="16"/>
  <c r="F11" i="16" s="1"/>
  <c r="G11" i="16" s="1"/>
  <c r="W10" i="16"/>
  <c r="S10" i="16"/>
  <c r="R10" i="16"/>
  <c r="E10" i="16"/>
  <c r="L7" i="16" s="1"/>
  <c r="E9" i="16"/>
  <c r="F9" i="16" s="1"/>
  <c r="G9" i="16" s="1"/>
  <c r="E8" i="16"/>
  <c r="M6" i="16" s="1"/>
  <c r="E7" i="16"/>
  <c r="L6" i="16" s="1"/>
  <c r="E6" i="16"/>
  <c r="F6" i="16" s="1"/>
  <c r="G6" i="16" s="1"/>
  <c r="K5" i="16"/>
  <c r="E5" i="16"/>
  <c r="E4" i="16"/>
  <c r="F4" i="16" s="1"/>
  <c r="G4" i="16" s="1"/>
  <c r="E3" i="16"/>
  <c r="E21" i="13"/>
  <c r="N9" i="13" s="1"/>
  <c r="E17" i="13"/>
  <c r="N8" i="13" s="1"/>
  <c r="M9" i="13"/>
  <c r="L9" i="13"/>
  <c r="M8" i="13"/>
  <c r="L8" i="13"/>
  <c r="K8" i="13"/>
  <c r="K7" i="13"/>
  <c r="L7" i="13"/>
  <c r="M7" i="13"/>
  <c r="M6" i="13"/>
  <c r="L6" i="13"/>
  <c r="L5" i="13"/>
  <c r="K5" i="13"/>
  <c r="P9" i="13"/>
  <c r="P8" i="13"/>
  <c r="P7" i="13"/>
  <c r="P6" i="13"/>
  <c r="AD16" i="15" l="1"/>
  <c r="AG4" i="15"/>
  <c r="AG9" i="15" s="1"/>
  <c r="K7" i="16"/>
  <c r="M7" i="16"/>
  <c r="P6" i="16"/>
  <c r="P7" i="16"/>
  <c r="P5" i="16"/>
  <c r="F7" i="16"/>
  <c r="G7" i="16" s="1"/>
  <c r="F12" i="16"/>
  <c r="G12" i="16" s="1"/>
  <c r="F10" i="16"/>
  <c r="G10" i="16" s="1"/>
  <c r="L5" i="16"/>
  <c r="K39" i="16"/>
  <c r="K6" i="16"/>
  <c r="R9" i="16"/>
  <c r="S9" i="16" s="1"/>
  <c r="F17" i="16"/>
  <c r="G17" i="16" s="1"/>
  <c r="F3" i="16"/>
  <c r="V10" i="16"/>
  <c r="U10" i="16"/>
  <c r="F14" i="16"/>
  <c r="G14" i="16" s="1"/>
  <c r="P18" i="16"/>
  <c r="M5" i="16"/>
  <c r="F5" i="16"/>
  <c r="G5" i="16" s="1"/>
  <c r="F8" i="16"/>
  <c r="G8" i="16" s="1"/>
  <c r="R7" i="16"/>
  <c r="T10" i="16"/>
  <c r="P17" i="16"/>
  <c r="F20" i="16"/>
  <c r="G20" i="16" s="1"/>
  <c r="W11" i="16"/>
  <c r="W12" i="16"/>
  <c r="M38" i="13"/>
  <c r="L38" i="13"/>
  <c r="L40" i="13"/>
  <c r="M40" i="13" s="1"/>
  <c r="L41" i="13"/>
  <c r="M41" i="13" s="1"/>
  <c r="L42" i="13"/>
  <c r="M42" i="13" s="1"/>
  <c r="L43" i="13"/>
  <c r="M43" i="13" s="1"/>
  <c r="L44" i="13"/>
  <c r="M44" i="13" s="1"/>
  <c r="L45" i="13"/>
  <c r="M45" i="13" s="1"/>
  <c r="L37" i="13"/>
  <c r="AH4" i="15" l="1"/>
  <c r="AG6" i="15" s="1"/>
  <c r="AH6" i="15" s="1"/>
  <c r="AH9" i="15" s="1"/>
  <c r="AG15" i="15" s="1"/>
  <c r="AH16" i="15" s="1"/>
  <c r="R8" i="16"/>
  <c r="V8" i="16" s="1"/>
  <c r="R5" i="16"/>
  <c r="R6" i="16"/>
  <c r="W6" i="16" s="1"/>
  <c r="W9" i="16"/>
  <c r="V9" i="16"/>
  <c r="U9" i="16"/>
  <c r="T9" i="16"/>
  <c r="F22" i="16"/>
  <c r="G3" i="16"/>
  <c r="G22" i="16" s="1"/>
  <c r="V7" i="16"/>
  <c r="U7" i="16"/>
  <c r="T7" i="16"/>
  <c r="W7" i="16"/>
  <c r="K46" i="16"/>
  <c r="L39" i="16"/>
  <c r="K46" i="14"/>
  <c r="Y3" i="14" s="1"/>
  <c r="L45" i="14"/>
  <c r="M45" i="14" s="1"/>
  <c r="L44" i="14"/>
  <c r="M44" i="14" s="1"/>
  <c r="M43" i="14"/>
  <c r="L43" i="14"/>
  <c r="L42" i="14"/>
  <c r="M42" i="14" s="1"/>
  <c r="L41" i="14"/>
  <c r="M41" i="14" s="1"/>
  <c r="L38" i="14"/>
  <c r="L37" i="14"/>
  <c r="M37" i="14" s="1"/>
  <c r="K34" i="14"/>
  <c r="L34" i="14" s="1"/>
  <c r="L33" i="14"/>
  <c r="K33" i="14"/>
  <c r="K32" i="14"/>
  <c r="L32" i="14" s="1"/>
  <c r="L31" i="14"/>
  <c r="K31" i="14"/>
  <c r="N30" i="14"/>
  <c r="P6" i="14" s="1"/>
  <c r="K30" i="14"/>
  <c r="L30" i="14" s="1"/>
  <c r="K29" i="14"/>
  <c r="L29" i="14" s="1"/>
  <c r="K28" i="14"/>
  <c r="L28" i="14" s="1"/>
  <c r="K27" i="14"/>
  <c r="L27" i="14" s="1"/>
  <c r="K26" i="14"/>
  <c r="L26" i="14" s="1"/>
  <c r="K25" i="14"/>
  <c r="L25" i="14" s="1"/>
  <c r="K24" i="14"/>
  <c r="L24" i="14" s="1"/>
  <c r="E21" i="14"/>
  <c r="F21" i="14" s="1"/>
  <c r="G21" i="14" s="1"/>
  <c r="F20" i="14"/>
  <c r="G20" i="14" s="1"/>
  <c r="E20" i="14"/>
  <c r="Q19" i="14"/>
  <c r="N19" i="14"/>
  <c r="R19" i="14" s="1"/>
  <c r="L19" i="14"/>
  <c r="O19" i="14" s="1"/>
  <c r="E19" i="14"/>
  <c r="F19" i="14" s="1"/>
  <c r="G19" i="14" s="1"/>
  <c r="Q18" i="14"/>
  <c r="N18" i="14"/>
  <c r="L18" i="14"/>
  <c r="O18" i="14" s="1"/>
  <c r="E18" i="14"/>
  <c r="F18" i="14" s="1"/>
  <c r="G18" i="14" s="1"/>
  <c r="R17" i="14"/>
  <c r="Q17" i="14"/>
  <c r="N17" i="14"/>
  <c r="L17" i="14"/>
  <c r="O17" i="14" s="1"/>
  <c r="E17" i="14"/>
  <c r="L9" i="14" s="1"/>
  <c r="E16" i="14"/>
  <c r="F16" i="14" s="1"/>
  <c r="G16" i="14" s="1"/>
  <c r="E15" i="14"/>
  <c r="F15" i="14" s="1"/>
  <c r="G15" i="14" s="1"/>
  <c r="F14" i="14"/>
  <c r="G14" i="14" s="1"/>
  <c r="E14" i="14"/>
  <c r="E13" i="14"/>
  <c r="F13" i="14" s="1"/>
  <c r="G13" i="14" s="1"/>
  <c r="S12" i="14"/>
  <c r="W12" i="14" s="1"/>
  <c r="E12" i="14"/>
  <c r="F12" i="14" s="1"/>
  <c r="G12" i="14" s="1"/>
  <c r="S11" i="14"/>
  <c r="W11" i="14" s="1"/>
  <c r="E11" i="14"/>
  <c r="F11" i="14" s="1"/>
  <c r="G11" i="14" s="1"/>
  <c r="N10" i="14"/>
  <c r="M10" i="14"/>
  <c r="R10" i="14" s="1"/>
  <c r="S10" i="14" s="1"/>
  <c r="T10" i="14" s="1"/>
  <c r="L10" i="14"/>
  <c r="F10" i="14"/>
  <c r="G10" i="14" s="1"/>
  <c r="E10" i="14"/>
  <c r="N7" i="14" s="1"/>
  <c r="N9" i="14"/>
  <c r="E9" i="14"/>
  <c r="F9" i="14" s="1"/>
  <c r="G9" i="14" s="1"/>
  <c r="N8" i="14"/>
  <c r="M8" i="14"/>
  <c r="R8" i="14" s="1"/>
  <c r="S8" i="14" s="1"/>
  <c r="U8" i="14" s="1"/>
  <c r="L8" i="14"/>
  <c r="E8" i="14"/>
  <c r="L6" i="14" s="1"/>
  <c r="M7" i="14"/>
  <c r="L7" i="14"/>
  <c r="R7" i="14" s="1"/>
  <c r="S7" i="14" s="1"/>
  <c r="E7" i="14"/>
  <c r="F7" i="14" s="1"/>
  <c r="G7" i="14" s="1"/>
  <c r="E6" i="14"/>
  <c r="M6" i="14" s="1"/>
  <c r="E5" i="14"/>
  <c r="F5" i="14" s="1"/>
  <c r="G5" i="14" s="1"/>
  <c r="E4" i="14"/>
  <c r="F4" i="14" s="1"/>
  <c r="G4" i="14" s="1"/>
  <c r="E3" i="14"/>
  <c r="AG18" i="15" l="1"/>
  <c r="W8" i="16"/>
  <c r="T8" i="16"/>
  <c r="U8" i="16"/>
  <c r="T6" i="16"/>
  <c r="R13" i="16"/>
  <c r="U6" i="16"/>
  <c r="V6" i="16"/>
  <c r="M39" i="16"/>
  <c r="M46" i="16" s="1"/>
  <c r="L46" i="16"/>
  <c r="U5" i="16"/>
  <c r="T5" i="16"/>
  <c r="W5" i="16"/>
  <c r="V5" i="16"/>
  <c r="Y3" i="16"/>
  <c r="J50" i="16"/>
  <c r="J51" i="16" s="1"/>
  <c r="L46" i="14"/>
  <c r="K50" i="14" s="1"/>
  <c r="K51" i="14" s="1"/>
  <c r="F6" i="14"/>
  <c r="G6" i="14" s="1"/>
  <c r="U10" i="14"/>
  <c r="N6" i="14"/>
  <c r="V12" i="14"/>
  <c r="P17" i="14"/>
  <c r="P19" i="14"/>
  <c r="J50" i="14"/>
  <c r="J51" i="14" s="1"/>
  <c r="V7" i="14"/>
  <c r="U7" i="14"/>
  <c r="T7" i="14"/>
  <c r="W7" i="14"/>
  <c r="L5" i="14"/>
  <c r="W8" i="14"/>
  <c r="V8" i="14"/>
  <c r="F17" i="14"/>
  <c r="G17" i="14" s="1"/>
  <c r="P18" i="14"/>
  <c r="R18" i="14"/>
  <c r="E22" i="14"/>
  <c r="M5" i="14"/>
  <c r="Y5" i="14"/>
  <c r="R6" i="14"/>
  <c r="S6" i="14" s="1"/>
  <c r="W10" i="14"/>
  <c r="V10" i="14"/>
  <c r="U11" i="14"/>
  <c r="T11" i="14"/>
  <c r="F3" i="14"/>
  <c r="F8" i="14"/>
  <c r="G8" i="14" s="1"/>
  <c r="T8" i="14"/>
  <c r="M9" i="14"/>
  <c r="R9" i="14" s="1"/>
  <c r="S9" i="14" s="1"/>
  <c r="V11" i="14"/>
  <c r="U12" i="14"/>
  <c r="T12" i="14"/>
  <c r="N5" i="14"/>
  <c r="M38" i="14"/>
  <c r="M46" i="14" s="1"/>
  <c r="W13" i="16" l="1"/>
  <c r="W14" i="16" s="1"/>
  <c r="K50" i="16"/>
  <c r="K51" i="16" s="1"/>
  <c r="Y5" i="16"/>
  <c r="L50" i="16"/>
  <c r="L51" i="16" s="1"/>
  <c r="Y7" i="16"/>
  <c r="W9" i="14"/>
  <c r="V9" i="14"/>
  <c r="U9" i="14"/>
  <c r="T9" i="14"/>
  <c r="V6" i="14"/>
  <c r="U6" i="14"/>
  <c r="W6" i="14"/>
  <c r="T6" i="14"/>
  <c r="R5" i="14"/>
  <c r="S5" i="14" s="1"/>
  <c r="L50" i="14"/>
  <c r="L51" i="14" s="1"/>
  <c r="Y7" i="14"/>
  <c r="F22" i="14"/>
  <c r="G3" i="14"/>
  <c r="G22" i="14" s="1"/>
  <c r="S12" i="13"/>
  <c r="T12" i="13" s="1"/>
  <c r="S11" i="13"/>
  <c r="T11" i="13" s="1"/>
  <c r="Z3" i="16" l="1"/>
  <c r="AA3" i="16" s="1"/>
  <c r="V5" i="14"/>
  <c r="U5" i="14"/>
  <c r="W5" i="14"/>
  <c r="W13" i="14" s="1"/>
  <c r="T5" i="14"/>
  <c r="U12" i="13"/>
  <c r="U11" i="13"/>
  <c r="W12" i="13"/>
  <c r="W11" i="13"/>
  <c r="Z5" i="16" l="1"/>
  <c r="Z10" i="16" s="1"/>
  <c r="W14" i="14"/>
  <c r="Z3" i="14"/>
  <c r="AA5" i="16" l="1"/>
  <c r="Z7" i="16" s="1"/>
  <c r="AA7" i="16" s="1"/>
  <c r="AA10" i="16" s="1"/>
  <c r="Z13" i="16" s="1"/>
  <c r="Z5" i="14"/>
  <c r="AA3" i="14"/>
  <c r="M37" i="13"/>
  <c r="K34" i="13"/>
  <c r="L34" i="13" s="1"/>
  <c r="K33" i="13"/>
  <c r="L33" i="13" s="1"/>
  <c r="K32" i="13"/>
  <c r="L32" i="13" s="1"/>
  <c r="K31" i="13"/>
  <c r="L31" i="13" s="1"/>
  <c r="K30" i="13"/>
  <c r="L30" i="13" s="1"/>
  <c r="K29" i="13"/>
  <c r="L29" i="13" s="1"/>
  <c r="K28" i="13"/>
  <c r="L28" i="13" s="1"/>
  <c r="K27" i="13"/>
  <c r="L27" i="13" s="1"/>
  <c r="K26" i="13"/>
  <c r="L26" i="13" s="1"/>
  <c r="E20" i="13"/>
  <c r="Q19" i="13"/>
  <c r="N19" i="13"/>
  <c r="R19" i="13" s="1"/>
  <c r="L19" i="13"/>
  <c r="O19" i="13" s="1"/>
  <c r="E19" i="13"/>
  <c r="Q18" i="13"/>
  <c r="N18" i="13"/>
  <c r="R18" i="13" s="1"/>
  <c r="L18" i="13"/>
  <c r="O18" i="13" s="1"/>
  <c r="E18" i="13"/>
  <c r="Q17" i="13"/>
  <c r="N17" i="13"/>
  <c r="L17" i="13"/>
  <c r="O17" i="13" s="1"/>
  <c r="E16" i="13"/>
  <c r="E15" i="13"/>
  <c r="E14" i="13"/>
  <c r="E13" i="13"/>
  <c r="N7" i="13" s="1"/>
  <c r="E12" i="13"/>
  <c r="E11" i="13"/>
  <c r="E10" i="13"/>
  <c r="E9" i="13"/>
  <c r="N6" i="13" s="1"/>
  <c r="E8" i="13"/>
  <c r="E7" i="13"/>
  <c r="E6" i="13"/>
  <c r="E5" i="13"/>
  <c r="M5" i="13" s="1"/>
  <c r="E4" i="13"/>
  <c r="E3" i="13"/>
  <c r="Z16" i="16" l="1"/>
  <c r="E22" i="13"/>
  <c r="K39" i="13" s="1"/>
  <c r="K46" i="13" s="1"/>
  <c r="AA5" i="14"/>
  <c r="Z7" i="14" s="1"/>
  <c r="AA7" i="14" s="1"/>
  <c r="AA10" i="14" s="1"/>
  <c r="Z10" i="14"/>
  <c r="F21" i="13"/>
  <c r="G21" i="13" s="1"/>
  <c r="F20" i="13"/>
  <c r="G20" i="13" s="1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7" i="13"/>
  <c r="G7" i="13" s="1"/>
  <c r="F11" i="13"/>
  <c r="G11" i="13" s="1"/>
  <c r="F8" i="13"/>
  <c r="G8" i="13" s="1"/>
  <c r="F12" i="13"/>
  <c r="G12" i="13" s="1"/>
  <c r="F9" i="13"/>
  <c r="G9" i="13" s="1"/>
  <c r="F10" i="13"/>
  <c r="G10" i="13" s="1"/>
  <c r="F3" i="13"/>
  <c r="G3" i="13" s="1"/>
  <c r="F6" i="13"/>
  <c r="G6" i="13" s="1"/>
  <c r="F5" i="13"/>
  <c r="G5" i="13" s="1"/>
  <c r="F4" i="13"/>
  <c r="G4" i="13" s="1"/>
  <c r="P17" i="13"/>
  <c r="P19" i="13"/>
  <c r="P18" i="13"/>
  <c r="K24" i="13"/>
  <c r="L24" i="13" s="1"/>
  <c r="R17" i="13"/>
  <c r="N30" i="7"/>
  <c r="L4" i="7"/>
  <c r="E23" i="7" s="1"/>
  <c r="F23" i="7" s="1"/>
  <c r="E24" i="7"/>
  <c r="F24" i="7" s="1"/>
  <c r="K33" i="7"/>
  <c r="L33" i="7" s="1"/>
  <c r="T6" i="7"/>
  <c r="T5" i="7"/>
  <c r="T4" i="7"/>
  <c r="L6" i="7"/>
  <c r="E25" i="7" s="1"/>
  <c r="F25" i="7" s="1"/>
  <c r="L5" i="7"/>
  <c r="M6" i="7"/>
  <c r="G25" i="7" s="1"/>
  <c r="N6" i="7"/>
  <c r="N5" i="7"/>
  <c r="N4" i="7"/>
  <c r="O4" i="7"/>
  <c r="M5" i="7"/>
  <c r="G24" i="7" s="1"/>
  <c r="M4" i="7"/>
  <c r="G23" i="7" s="1"/>
  <c r="K6" i="7"/>
  <c r="K4" i="7"/>
  <c r="L5" i="6"/>
  <c r="L4" i="6"/>
  <c r="L6" i="6"/>
  <c r="W4" i="7"/>
  <c r="L39" i="13" l="1"/>
  <c r="F26" i="7"/>
  <c r="Z13" i="14"/>
  <c r="AA14" i="14" s="1"/>
  <c r="V12" i="13"/>
  <c r="K25" i="13"/>
  <c r="L25" i="13" s="1"/>
  <c r="N30" i="13"/>
  <c r="P5" i="13" s="1"/>
  <c r="G22" i="13"/>
  <c r="F22" i="13"/>
  <c r="K44" i="11"/>
  <c r="J48" i="11" s="1"/>
  <c r="J49" i="11" s="1"/>
  <c r="L43" i="11"/>
  <c r="N43" i="11" s="1"/>
  <c r="L42" i="11"/>
  <c r="N42" i="11" s="1"/>
  <c r="L41" i="11"/>
  <c r="N41" i="11" s="1"/>
  <c r="L40" i="11"/>
  <c r="N40" i="11" s="1"/>
  <c r="L39" i="11"/>
  <c r="N39" i="11" s="1"/>
  <c r="L38" i="11"/>
  <c r="N38" i="11" s="1"/>
  <c r="L37" i="11"/>
  <c r="N37" i="11" s="1"/>
  <c r="L36" i="11"/>
  <c r="N36" i="11" s="1"/>
  <c r="L35" i="11"/>
  <c r="K32" i="11"/>
  <c r="L32" i="11" s="1"/>
  <c r="K31" i="11"/>
  <c r="L31" i="11" s="1"/>
  <c r="N30" i="11"/>
  <c r="O30" i="11" s="1"/>
  <c r="P5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E20" i="11"/>
  <c r="F20" i="11" s="1"/>
  <c r="G20" i="11" s="1"/>
  <c r="E19" i="11"/>
  <c r="F19" i="11" s="1"/>
  <c r="G19" i="11" s="1"/>
  <c r="Q18" i="11"/>
  <c r="O18" i="11"/>
  <c r="N18" i="11"/>
  <c r="R18" i="11" s="1"/>
  <c r="L18" i="11"/>
  <c r="E18" i="11"/>
  <c r="F18" i="11" s="1"/>
  <c r="G18" i="11" s="1"/>
  <c r="Q17" i="11"/>
  <c r="N17" i="11"/>
  <c r="R17" i="11" s="1"/>
  <c r="L17" i="11"/>
  <c r="F17" i="11"/>
  <c r="G17" i="11" s="1"/>
  <c r="E17" i="11"/>
  <c r="Q16" i="11"/>
  <c r="N16" i="11"/>
  <c r="L16" i="11"/>
  <c r="O16" i="11" s="1"/>
  <c r="E16" i="11"/>
  <c r="F16" i="11" s="1"/>
  <c r="G16" i="11" s="1"/>
  <c r="F15" i="11"/>
  <c r="G15" i="11" s="1"/>
  <c r="E15" i="11"/>
  <c r="E14" i="11"/>
  <c r="F14" i="11" s="1"/>
  <c r="G14" i="11" s="1"/>
  <c r="E13" i="11"/>
  <c r="F13" i="11" s="1"/>
  <c r="G13" i="11" s="1"/>
  <c r="E12" i="11"/>
  <c r="F12" i="11" s="1"/>
  <c r="G12" i="11" s="1"/>
  <c r="T11" i="11"/>
  <c r="E11" i="11"/>
  <c r="F11" i="11" s="1"/>
  <c r="G11" i="11" s="1"/>
  <c r="T10" i="11"/>
  <c r="E10" i="11"/>
  <c r="F10" i="11" s="1"/>
  <c r="G10" i="11" s="1"/>
  <c r="T9" i="11"/>
  <c r="E9" i="11"/>
  <c r="F9" i="11" s="1"/>
  <c r="G9" i="11" s="1"/>
  <c r="T8" i="11"/>
  <c r="E8" i="11"/>
  <c r="F8" i="11" s="1"/>
  <c r="G8" i="11" s="1"/>
  <c r="T7" i="11"/>
  <c r="E7" i="11"/>
  <c r="F7" i="11" s="1"/>
  <c r="G7" i="11" s="1"/>
  <c r="W6" i="11"/>
  <c r="E30" i="11"/>
  <c r="G30" i="11" s="1"/>
  <c r="O6" i="11"/>
  <c r="N6" i="11"/>
  <c r="M6" i="11"/>
  <c r="L6" i="11"/>
  <c r="D33" i="11" s="1"/>
  <c r="K6" i="11"/>
  <c r="F6" i="11"/>
  <c r="G6" i="11" s="1"/>
  <c r="E6" i="11"/>
  <c r="W5" i="11"/>
  <c r="E29" i="11"/>
  <c r="G29" i="11" s="1"/>
  <c r="O5" i="11"/>
  <c r="N5" i="11"/>
  <c r="M5" i="11"/>
  <c r="L5" i="11"/>
  <c r="D32" i="11" s="1"/>
  <c r="K5" i="11"/>
  <c r="E5" i="11"/>
  <c r="F5" i="11" s="1"/>
  <c r="G5" i="11" s="1"/>
  <c r="E28" i="11"/>
  <c r="G28" i="11" s="1"/>
  <c r="O4" i="11"/>
  <c r="N4" i="11"/>
  <c r="M4" i="11"/>
  <c r="L4" i="11"/>
  <c r="D31" i="11" s="1"/>
  <c r="K4" i="11"/>
  <c r="E4" i="11"/>
  <c r="F4" i="11" s="1"/>
  <c r="G4" i="11" s="1"/>
  <c r="F3" i="11"/>
  <c r="G3" i="11" s="1"/>
  <c r="E3" i="11"/>
  <c r="Y2" i="11"/>
  <c r="E2" i="11"/>
  <c r="J23" i="11" s="1"/>
  <c r="K23" i="11" s="1"/>
  <c r="L23" i="11" s="1"/>
  <c r="K5" i="7"/>
  <c r="H8" i="10"/>
  <c r="H9" i="10"/>
  <c r="H7" i="10"/>
  <c r="J50" i="13" l="1"/>
  <c r="J51" i="13" s="1"/>
  <c r="Y3" i="13"/>
  <c r="M39" i="13"/>
  <c r="M46" i="13" s="1"/>
  <c r="L46" i="13"/>
  <c r="P16" i="11"/>
  <c r="P17" i="11"/>
  <c r="E23" i="11"/>
  <c r="R5" i="11"/>
  <c r="U5" i="11" s="1"/>
  <c r="E24" i="11"/>
  <c r="L44" i="11"/>
  <c r="F2" i="11"/>
  <c r="G2" i="11" s="1"/>
  <c r="E25" i="11"/>
  <c r="P48" i="11"/>
  <c r="P18" i="11"/>
  <c r="Z16" i="14"/>
  <c r="Z14" i="14"/>
  <c r="R5" i="13"/>
  <c r="S5" i="13" s="1"/>
  <c r="R10" i="13"/>
  <c r="R6" i="13"/>
  <c r="S6" i="13" s="1"/>
  <c r="R9" i="13"/>
  <c r="S9" i="13" s="1"/>
  <c r="R8" i="13"/>
  <c r="S8" i="13" s="1"/>
  <c r="R7" i="13"/>
  <c r="S7" i="13" s="1"/>
  <c r="V11" i="13"/>
  <c r="K48" i="11"/>
  <c r="K49" i="11" s="1"/>
  <c r="Y4" i="11"/>
  <c r="R48" i="11"/>
  <c r="Q48" i="11"/>
  <c r="S48" i="11" s="1"/>
  <c r="G21" i="11"/>
  <c r="R16" i="11"/>
  <c r="P6" i="11"/>
  <c r="P49" i="11" s="1"/>
  <c r="E21" i="11"/>
  <c r="J24" i="11"/>
  <c r="K24" i="11" s="1"/>
  <c r="L24" i="11" s="1"/>
  <c r="N35" i="11"/>
  <c r="N44" i="11" s="1"/>
  <c r="P4" i="11"/>
  <c r="R4" i="11" s="1"/>
  <c r="R6" i="11"/>
  <c r="U6" i="11" s="1"/>
  <c r="O17" i="11"/>
  <c r="F21" i="11"/>
  <c r="W4" i="11"/>
  <c r="W12" i="11" s="1"/>
  <c r="Z2" i="11" s="1"/>
  <c r="V5" i="11"/>
  <c r="S10" i="13" l="1"/>
  <c r="R13" i="13"/>
  <c r="Y7" i="13"/>
  <c r="L50" i="13"/>
  <c r="L51" i="13" s="1"/>
  <c r="Y5" i="13"/>
  <c r="K50" i="13"/>
  <c r="K51" i="13" s="1"/>
  <c r="T7" i="13"/>
  <c r="W7" i="13"/>
  <c r="T10" i="13"/>
  <c r="W10" i="13"/>
  <c r="W8" i="13"/>
  <c r="T8" i="13"/>
  <c r="T9" i="13"/>
  <c r="W9" i="13"/>
  <c r="T6" i="13"/>
  <c r="W6" i="13"/>
  <c r="U5" i="13"/>
  <c r="U7" i="13"/>
  <c r="V7" i="13"/>
  <c r="U10" i="13"/>
  <c r="V10" i="13"/>
  <c r="V8" i="13"/>
  <c r="U8" i="13"/>
  <c r="U9" i="13"/>
  <c r="V9" i="13"/>
  <c r="U6" i="13"/>
  <c r="V6" i="13"/>
  <c r="V4" i="11"/>
  <c r="U4" i="11"/>
  <c r="AA2" i="11"/>
  <c r="Z4" i="11"/>
  <c r="P47" i="11"/>
  <c r="V6" i="11"/>
  <c r="L48" i="11"/>
  <c r="L49" i="11" s="1"/>
  <c r="Y6" i="11"/>
  <c r="R49" i="11"/>
  <c r="Q49" i="11"/>
  <c r="S49" i="11" s="1"/>
  <c r="T5" i="13" l="1"/>
  <c r="W5" i="13"/>
  <c r="W13" i="13" s="1"/>
  <c r="W14" i="13" s="1"/>
  <c r="V5" i="13"/>
  <c r="R47" i="11"/>
  <c r="Q47" i="11"/>
  <c r="Z9" i="11"/>
  <c r="AA4" i="11"/>
  <c r="Z6" i="11" s="1"/>
  <c r="AA6" i="11" s="1"/>
  <c r="AA9" i="11" s="1"/>
  <c r="K44" i="7"/>
  <c r="Y2" i="7" s="1"/>
  <c r="E8" i="7"/>
  <c r="F8" i="7" s="1"/>
  <c r="G8" i="7" s="1"/>
  <c r="E7" i="7"/>
  <c r="F7" i="7" s="1"/>
  <c r="G7" i="7" s="1"/>
  <c r="Z3" i="13" l="1"/>
  <c r="Z12" i="11"/>
  <c r="Q50" i="11"/>
  <c r="S47" i="11"/>
  <c r="S50" i="11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6" i="9"/>
  <c r="M36" i="9" s="1"/>
  <c r="L35" i="9"/>
  <c r="M35" i="9" s="1"/>
  <c r="K32" i="9"/>
  <c r="L32" i="9" s="1"/>
  <c r="K31" i="9"/>
  <c r="L31" i="9" s="1"/>
  <c r="M30" i="9"/>
  <c r="N30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E20" i="9"/>
  <c r="F20" i="9" s="1"/>
  <c r="G20" i="9" s="1"/>
  <c r="E19" i="9"/>
  <c r="F19" i="9" s="1"/>
  <c r="G19" i="9" s="1"/>
  <c r="P18" i="9"/>
  <c r="M18" i="9"/>
  <c r="O18" i="9" s="1"/>
  <c r="L18" i="9"/>
  <c r="N18" i="9" s="1"/>
  <c r="E18" i="9"/>
  <c r="F18" i="9" s="1"/>
  <c r="G18" i="9" s="1"/>
  <c r="P17" i="9"/>
  <c r="M17" i="9"/>
  <c r="Q17" i="9" s="1"/>
  <c r="L17" i="9"/>
  <c r="F17" i="9"/>
  <c r="G17" i="9" s="1"/>
  <c r="E17" i="9"/>
  <c r="P16" i="9"/>
  <c r="M16" i="9"/>
  <c r="Q16" i="9" s="1"/>
  <c r="L16" i="9"/>
  <c r="N16" i="9" s="1"/>
  <c r="E16" i="9"/>
  <c r="F16" i="9" s="1"/>
  <c r="G16" i="9" s="1"/>
  <c r="E15" i="9"/>
  <c r="F15" i="9" s="1"/>
  <c r="G15" i="9" s="1"/>
  <c r="E14" i="9"/>
  <c r="F14" i="9" s="1"/>
  <c r="G14" i="9" s="1"/>
  <c r="E13" i="9"/>
  <c r="J24" i="9" s="1"/>
  <c r="K24" i="9" s="1"/>
  <c r="L24" i="9" s="1"/>
  <c r="E12" i="9"/>
  <c r="F12" i="9" s="1"/>
  <c r="G12" i="9" s="1"/>
  <c r="S11" i="9"/>
  <c r="E11" i="9"/>
  <c r="F11" i="9" s="1"/>
  <c r="G11" i="9" s="1"/>
  <c r="S10" i="9"/>
  <c r="E10" i="9"/>
  <c r="F10" i="9" s="1"/>
  <c r="G10" i="9" s="1"/>
  <c r="S9" i="9"/>
  <c r="E9" i="9"/>
  <c r="F9" i="9" s="1"/>
  <c r="G9" i="9" s="1"/>
  <c r="S8" i="9"/>
  <c r="E8" i="9"/>
  <c r="F8" i="9" s="1"/>
  <c r="G8" i="9" s="1"/>
  <c r="S7" i="9"/>
  <c r="E7" i="9"/>
  <c r="F7" i="9" s="1"/>
  <c r="G7" i="9" s="1"/>
  <c r="R6" i="9"/>
  <c r="V6" i="9" s="1"/>
  <c r="N6" i="9"/>
  <c r="M6" i="9"/>
  <c r="L6" i="9"/>
  <c r="K6" i="9"/>
  <c r="E6" i="9"/>
  <c r="F6" i="9" s="1"/>
  <c r="G6" i="9" s="1"/>
  <c r="R5" i="9"/>
  <c r="V5" i="9" s="1"/>
  <c r="N5" i="9"/>
  <c r="M5" i="9"/>
  <c r="L5" i="9"/>
  <c r="K5" i="9"/>
  <c r="F5" i="9"/>
  <c r="G5" i="9" s="1"/>
  <c r="E5" i="9"/>
  <c r="R4" i="9"/>
  <c r="V4" i="9" s="1"/>
  <c r="N4" i="9"/>
  <c r="M4" i="9"/>
  <c r="L4" i="9"/>
  <c r="K4" i="9"/>
  <c r="E4" i="9"/>
  <c r="K37" i="9" s="1"/>
  <c r="L37" i="9" s="1"/>
  <c r="M37" i="9" s="1"/>
  <c r="E3" i="9"/>
  <c r="F3" i="9" s="1"/>
  <c r="G3" i="9" s="1"/>
  <c r="E2" i="9"/>
  <c r="E21" i="9" s="1"/>
  <c r="L43" i="8"/>
  <c r="M43" i="8" s="1"/>
  <c r="L42" i="8"/>
  <c r="M42" i="8" s="1"/>
  <c r="L41" i="8"/>
  <c r="M41" i="8" s="1"/>
  <c r="M40" i="8"/>
  <c r="L40" i="8"/>
  <c r="L39" i="8"/>
  <c r="M39" i="8" s="1"/>
  <c r="L38" i="8"/>
  <c r="M38" i="8" s="1"/>
  <c r="L36" i="8"/>
  <c r="M36" i="8" s="1"/>
  <c r="L35" i="8"/>
  <c r="M35" i="8" s="1"/>
  <c r="L32" i="8"/>
  <c r="K32" i="8"/>
  <c r="K31" i="8"/>
  <c r="L31" i="8" s="1"/>
  <c r="M30" i="8"/>
  <c r="N30" i="8" s="1"/>
  <c r="O5" i="8" s="1"/>
  <c r="K30" i="8"/>
  <c r="L30" i="8" s="1"/>
  <c r="L29" i="8"/>
  <c r="K29" i="8"/>
  <c r="K28" i="8"/>
  <c r="L28" i="8" s="1"/>
  <c r="K27" i="8"/>
  <c r="L27" i="8" s="1"/>
  <c r="K26" i="8"/>
  <c r="L26" i="8" s="1"/>
  <c r="L25" i="8"/>
  <c r="K25" i="8"/>
  <c r="E20" i="8"/>
  <c r="F20" i="8" s="1"/>
  <c r="G20" i="8" s="1"/>
  <c r="E19" i="8"/>
  <c r="F19" i="8" s="1"/>
  <c r="G19" i="8" s="1"/>
  <c r="P18" i="8"/>
  <c r="N18" i="8"/>
  <c r="M18" i="8"/>
  <c r="Q18" i="8" s="1"/>
  <c r="L18" i="8"/>
  <c r="E18" i="8"/>
  <c r="F18" i="8" s="1"/>
  <c r="G18" i="8" s="1"/>
  <c r="P17" i="8"/>
  <c r="M17" i="8"/>
  <c r="Q17" i="8" s="1"/>
  <c r="L17" i="8"/>
  <c r="N17" i="8" s="1"/>
  <c r="E17" i="8"/>
  <c r="F17" i="8" s="1"/>
  <c r="G17" i="8" s="1"/>
  <c r="P16" i="8"/>
  <c r="M16" i="8"/>
  <c r="L16" i="8"/>
  <c r="N16" i="8" s="1"/>
  <c r="E16" i="8"/>
  <c r="F16" i="8" s="1"/>
  <c r="G16" i="8" s="1"/>
  <c r="E15" i="8"/>
  <c r="F15" i="8" s="1"/>
  <c r="G15" i="8" s="1"/>
  <c r="E14" i="8"/>
  <c r="F14" i="8" s="1"/>
  <c r="G14" i="8" s="1"/>
  <c r="E13" i="8"/>
  <c r="F13" i="8" s="1"/>
  <c r="G13" i="8" s="1"/>
  <c r="E12" i="8"/>
  <c r="F12" i="8" s="1"/>
  <c r="G12" i="8" s="1"/>
  <c r="S11" i="8"/>
  <c r="E11" i="8"/>
  <c r="F11" i="8" s="1"/>
  <c r="G11" i="8" s="1"/>
  <c r="S10" i="8"/>
  <c r="E10" i="8"/>
  <c r="F10" i="8" s="1"/>
  <c r="G10" i="8" s="1"/>
  <c r="S9" i="8"/>
  <c r="E9" i="8"/>
  <c r="F9" i="8" s="1"/>
  <c r="G9" i="8" s="1"/>
  <c r="S8" i="8"/>
  <c r="F8" i="8"/>
  <c r="G8" i="8" s="1"/>
  <c r="E8" i="8"/>
  <c r="S7" i="8"/>
  <c r="E7" i="8"/>
  <c r="F7" i="8" s="1"/>
  <c r="G7" i="8" s="1"/>
  <c r="R6" i="8"/>
  <c r="V6" i="8" s="1"/>
  <c r="N6" i="8"/>
  <c r="M6" i="8"/>
  <c r="L6" i="8"/>
  <c r="K6" i="8"/>
  <c r="E6" i="8"/>
  <c r="F6" i="8" s="1"/>
  <c r="G6" i="8" s="1"/>
  <c r="R5" i="8"/>
  <c r="V5" i="8" s="1"/>
  <c r="N5" i="8"/>
  <c r="M5" i="8"/>
  <c r="L5" i="8"/>
  <c r="K5" i="8"/>
  <c r="E5" i="8"/>
  <c r="F5" i="8" s="1"/>
  <c r="G5" i="8" s="1"/>
  <c r="R4" i="8"/>
  <c r="V4" i="8" s="1"/>
  <c r="N4" i="8"/>
  <c r="M4" i="8"/>
  <c r="L4" i="8"/>
  <c r="K4" i="8"/>
  <c r="E4" i="8"/>
  <c r="F4" i="8" s="1"/>
  <c r="G4" i="8" s="1"/>
  <c r="E3" i="8"/>
  <c r="E2" i="8"/>
  <c r="F2" i="8" s="1"/>
  <c r="G2" i="8" s="1"/>
  <c r="O17" i="8" l="1"/>
  <c r="J24" i="8"/>
  <c r="K24" i="8" s="1"/>
  <c r="L24" i="8" s="1"/>
  <c r="K37" i="8"/>
  <c r="F4" i="9"/>
  <c r="G4" i="9" s="1"/>
  <c r="O17" i="9"/>
  <c r="O48" i="8"/>
  <c r="O16" i="8"/>
  <c r="O18" i="8"/>
  <c r="AA3" i="13"/>
  <c r="Z5" i="13"/>
  <c r="Z13" i="11"/>
  <c r="AA12" i="11"/>
  <c r="V12" i="9"/>
  <c r="Y2" i="9" s="1"/>
  <c r="M44" i="9"/>
  <c r="O6" i="9"/>
  <c r="O49" i="9" s="1"/>
  <c r="O5" i="9"/>
  <c r="O48" i="9" s="1"/>
  <c r="O4" i="9"/>
  <c r="Q4" i="9" s="1"/>
  <c r="Q6" i="9"/>
  <c r="T6" i="9" s="1"/>
  <c r="O16" i="9"/>
  <c r="N17" i="9"/>
  <c r="Q18" i="9"/>
  <c r="O47" i="9"/>
  <c r="F13" i="9"/>
  <c r="G13" i="9" s="1"/>
  <c r="K44" i="9"/>
  <c r="J23" i="9"/>
  <c r="K23" i="9" s="1"/>
  <c r="L23" i="9" s="1"/>
  <c r="L44" i="9"/>
  <c r="F2" i="9"/>
  <c r="Q5" i="9"/>
  <c r="T5" i="9" s="1"/>
  <c r="E21" i="8"/>
  <c r="J23" i="8"/>
  <c r="K23" i="8" s="1"/>
  <c r="L23" i="8" s="1"/>
  <c r="Q48" i="8"/>
  <c r="P48" i="8"/>
  <c r="R48" i="8" s="1"/>
  <c r="V12" i="8"/>
  <c r="Y2" i="8" s="1"/>
  <c r="F3" i="8"/>
  <c r="G3" i="8" s="1"/>
  <c r="G21" i="8" s="1"/>
  <c r="Q5" i="8"/>
  <c r="O6" i="8"/>
  <c r="O49" i="8" s="1"/>
  <c r="Q16" i="8"/>
  <c r="O4" i="8"/>
  <c r="Q4" i="8" s="1"/>
  <c r="O30" i="7"/>
  <c r="O6" i="7"/>
  <c r="O5" i="7"/>
  <c r="E13" i="7"/>
  <c r="K27" i="7"/>
  <c r="L37" i="8" l="1"/>
  <c r="K44" i="8"/>
  <c r="Q6" i="8"/>
  <c r="AA5" i="13"/>
  <c r="Z7" i="13" s="1"/>
  <c r="AA7" i="13" s="1"/>
  <c r="AA10" i="13" s="1"/>
  <c r="Z10" i="13"/>
  <c r="Q48" i="9"/>
  <c r="P48" i="9"/>
  <c r="R48" i="9" s="1"/>
  <c r="P49" i="9"/>
  <c r="R49" i="9" s="1"/>
  <c r="Q49" i="9"/>
  <c r="T4" i="9"/>
  <c r="U4" i="9"/>
  <c r="K48" i="9"/>
  <c r="K49" i="9" s="1"/>
  <c r="X4" i="9"/>
  <c r="U5" i="9"/>
  <c r="L48" i="9"/>
  <c r="L49" i="9" s="1"/>
  <c r="X6" i="9"/>
  <c r="F21" i="9"/>
  <c r="G2" i="9"/>
  <c r="G21" i="9" s="1"/>
  <c r="Z2" i="9"/>
  <c r="Y4" i="9"/>
  <c r="X2" i="9"/>
  <c r="J48" i="9"/>
  <c r="J49" i="9" s="1"/>
  <c r="Q47" i="9"/>
  <c r="P47" i="9"/>
  <c r="U6" i="9"/>
  <c r="P49" i="8"/>
  <c r="R49" i="8" s="1"/>
  <c r="Q49" i="8"/>
  <c r="T4" i="8"/>
  <c r="U4" i="8"/>
  <c r="Y4" i="8"/>
  <c r="O47" i="8"/>
  <c r="T5" i="8"/>
  <c r="U5" i="8"/>
  <c r="F21" i="8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36" i="7"/>
  <c r="M36" i="7" s="1"/>
  <c r="L35" i="7"/>
  <c r="K32" i="7"/>
  <c r="L32" i="7" s="1"/>
  <c r="K31" i="7"/>
  <c r="L31" i="7" s="1"/>
  <c r="K30" i="7"/>
  <c r="L30" i="7" s="1"/>
  <c r="K29" i="7"/>
  <c r="L29" i="7" s="1"/>
  <c r="K28" i="7"/>
  <c r="L28" i="7" s="1"/>
  <c r="L27" i="7"/>
  <c r="K26" i="7"/>
  <c r="L26" i="7" s="1"/>
  <c r="K25" i="7"/>
  <c r="L25" i="7" s="1"/>
  <c r="F20" i="7"/>
  <c r="G20" i="7" s="1"/>
  <c r="E20" i="7"/>
  <c r="F19" i="7"/>
  <c r="G19" i="7" s="1"/>
  <c r="E19" i="7"/>
  <c r="Q18" i="7"/>
  <c r="N18" i="7"/>
  <c r="R18" i="7" s="1"/>
  <c r="L18" i="7"/>
  <c r="O18" i="7" s="1"/>
  <c r="E18" i="7"/>
  <c r="F18" i="7" s="1"/>
  <c r="G18" i="7" s="1"/>
  <c r="Q17" i="7"/>
  <c r="N17" i="7"/>
  <c r="P17" i="7" s="1"/>
  <c r="L17" i="7"/>
  <c r="O17" i="7" s="1"/>
  <c r="E17" i="7"/>
  <c r="F17" i="7" s="1"/>
  <c r="G17" i="7" s="1"/>
  <c r="Q16" i="7"/>
  <c r="N16" i="7"/>
  <c r="R16" i="7" s="1"/>
  <c r="L16" i="7"/>
  <c r="O16" i="7" s="1"/>
  <c r="E16" i="7"/>
  <c r="F16" i="7" s="1"/>
  <c r="G16" i="7" s="1"/>
  <c r="E15" i="7"/>
  <c r="E14" i="7"/>
  <c r="J24" i="7" s="1"/>
  <c r="F13" i="7"/>
  <c r="G13" i="7" s="1"/>
  <c r="E12" i="7"/>
  <c r="F12" i="7" s="1"/>
  <c r="G12" i="7" s="1"/>
  <c r="E11" i="7"/>
  <c r="F11" i="7" s="1"/>
  <c r="G11" i="7" s="1"/>
  <c r="E10" i="7"/>
  <c r="F10" i="7" s="1"/>
  <c r="G10" i="7" s="1"/>
  <c r="E9" i="7"/>
  <c r="F9" i="7" s="1"/>
  <c r="G9" i="7" s="1"/>
  <c r="W6" i="7"/>
  <c r="E6" i="7"/>
  <c r="F6" i="7" s="1"/>
  <c r="G6" i="7" s="1"/>
  <c r="W5" i="7"/>
  <c r="E5" i="7"/>
  <c r="F5" i="7" s="1"/>
  <c r="G5" i="7" s="1"/>
  <c r="E4" i="7"/>
  <c r="E3" i="7"/>
  <c r="F3" i="7" s="1"/>
  <c r="G3" i="7" s="1"/>
  <c r="E2" i="7"/>
  <c r="J23" i="7" l="1"/>
  <c r="P18" i="7"/>
  <c r="U6" i="8"/>
  <c r="T6" i="8"/>
  <c r="J48" i="8"/>
  <c r="J49" i="8" s="1"/>
  <c r="X2" i="8"/>
  <c r="Z2" i="8" s="1"/>
  <c r="M37" i="8"/>
  <c r="M44" i="8" s="1"/>
  <c r="L44" i="8"/>
  <c r="Z13" i="13"/>
  <c r="AA14" i="13" s="1"/>
  <c r="F14" i="7"/>
  <c r="G14" i="7" s="1"/>
  <c r="E21" i="7"/>
  <c r="K23" i="7"/>
  <c r="L23" i="7" s="1"/>
  <c r="R47" i="9"/>
  <c r="R50" i="9" s="1"/>
  <c r="P50" i="9"/>
  <c r="Z4" i="9"/>
  <c r="Y6" i="9" s="1"/>
  <c r="Z6" i="9" s="1"/>
  <c r="Z9" i="9" s="1"/>
  <c r="Y9" i="9"/>
  <c r="Z4" i="8"/>
  <c r="Y6" i="8" s="1"/>
  <c r="P47" i="8"/>
  <c r="Q47" i="8"/>
  <c r="W12" i="7"/>
  <c r="L44" i="7"/>
  <c r="K48" i="7" s="1"/>
  <c r="K49" i="7" s="1"/>
  <c r="J48" i="7"/>
  <c r="J49" i="7" s="1"/>
  <c r="P6" i="7"/>
  <c r="P5" i="7"/>
  <c r="P4" i="7"/>
  <c r="F4" i="7"/>
  <c r="G4" i="7" s="1"/>
  <c r="K24" i="7"/>
  <c r="L24" i="7" s="1"/>
  <c r="F2" i="7"/>
  <c r="G2" i="7" s="1"/>
  <c r="R17" i="7"/>
  <c r="M35" i="7"/>
  <c r="M44" i="7" s="1"/>
  <c r="F15" i="7"/>
  <c r="G15" i="7" s="1"/>
  <c r="P16" i="7"/>
  <c r="M30" i="6"/>
  <c r="Z16" i="13" l="1"/>
  <c r="K48" i="8"/>
  <c r="K49" i="8" s="1"/>
  <c r="X4" i="8"/>
  <c r="Y9" i="8" s="1"/>
  <c r="Z6" i="8"/>
  <c r="Z9" i="8" s="1"/>
  <c r="L48" i="8"/>
  <c r="L49" i="8" s="1"/>
  <c r="X6" i="8"/>
  <c r="Z2" i="7"/>
  <c r="W13" i="7"/>
  <c r="R4" i="7"/>
  <c r="V4" i="7" s="1"/>
  <c r="R5" i="7"/>
  <c r="U5" i="7" s="1"/>
  <c r="R6" i="7"/>
  <c r="V6" i="7" s="1"/>
  <c r="AA2" i="7"/>
  <c r="Z4" i="7"/>
  <c r="AA4" i="7" s="1"/>
  <c r="Z6" i="7" s="1"/>
  <c r="Y12" i="9"/>
  <c r="Y12" i="8"/>
  <c r="Y13" i="8" s="1"/>
  <c r="P50" i="8"/>
  <c r="R47" i="8"/>
  <c r="R50" i="8" s="1"/>
  <c r="Y4" i="7"/>
  <c r="G21" i="7"/>
  <c r="Y6" i="7"/>
  <c r="L48" i="7"/>
  <c r="L49" i="7" s="1"/>
  <c r="F21" i="7"/>
  <c r="P17" i="6"/>
  <c r="P18" i="6"/>
  <c r="P16" i="6"/>
  <c r="M16" i="6"/>
  <c r="Q16" i="6" s="1"/>
  <c r="L16" i="6"/>
  <c r="V5" i="7" l="1"/>
  <c r="U6" i="7"/>
  <c r="U4" i="7"/>
  <c r="Z9" i="7"/>
  <c r="Y13" i="9"/>
  <c r="Z12" i="9"/>
  <c r="Z12" i="8"/>
  <c r="AA6" i="7"/>
  <c r="AA9" i="7" s="1"/>
  <c r="Z12" i="7" s="1"/>
  <c r="Z13" i="7" s="1"/>
  <c r="M17" i="6"/>
  <c r="Q17" i="6" s="1"/>
  <c r="M18" i="6"/>
  <c r="Q18" i="6" s="1"/>
  <c r="O16" i="6"/>
  <c r="N16" i="6"/>
  <c r="P4" i="6" s="1"/>
  <c r="AA12" i="7" l="1"/>
  <c r="E16" i="6"/>
  <c r="K44" i="6"/>
  <c r="X2" i="6" s="1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L35" i="6"/>
  <c r="K32" i="6"/>
  <c r="L32" i="6" s="1"/>
  <c r="K31" i="6"/>
  <c r="L31" i="6" s="1"/>
  <c r="N30" i="6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E20" i="6"/>
  <c r="F20" i="6" s="1"/>
  <c r="G20" i="6" s="1"/>
  <c r="E19" i="6"/>
  <c r="F19" i="6" s="1"/>
  <c r="G19" i="6" s="1"/>
  <c r="L18" i="6"/>
  <c r="E18" i="6"/>
  <c r="F18" i="6" s="1"/>
  <c r="G18" i="6" s="1"/>
  <c r="L17" i="6"/>
  <c r="N17" i="6" s="1"/>
  <c r="P5" i="6" s="1"/>
  <c r="E17" i="6"/>
  <c r="F17" i="6" s="1"/>
  <c r="G17" i="6" s="1"/>
  <c r="E15" i="6"/>
  <c r="F15" i="6" s="1"/>
  <c r="G15" i="6" s="1"/>
  <c r="E14" i="6"/>
  <c r="F14" i="6" s="1"/>
  <c r="G14" i="6" s="1"/>
  <c r="E13" i="6"/>
  <c r="E12" i="6"/>
  <c r="F12" i="6" s="1"/>
  <c r="G12" i="6" s="1"/>
  <c r="S11" i="6"/>
  <c r="E11" i="6"/>
  <c r="F11" i="6" s="1"/>
  <c r="G11" i="6" s="1"/>
  <c r="S10" i="6"/>
  <c r="E10" i="6"/>
  <c r="F10" i="6" s="1"/>
  <c r="G10" i="6" s="1"/>
  <c r="S9" i="6"/>
  <c r="F9" i="6"/>
  <c r="G9" i="6" s="1"/>
  <c r="E9" i="6"/>
  <c r="S8" i="6"/>
  <c r="E8" i="6"/>
  <c r="F8" i="6" s="1"/>
  <c r="G8" i="6" s="1"/>
  <c r="S7" i="6"/>
  <c r="E7" i="6"/>
  <c r="F7" i="6" s="1"/>
  <c r="G7" i="6" s="1"/>
  <c r="R6" i="6"/>
  <c r="N6" i="6"/>
  <c r="M6" i="6"/>
  <c r="K6" i="6"/>
  <c r="E6" i="6"/>
  <c r="F6" i="6" s="1"/>
  <c r="G6" i="6" s="1"/>
  <c r="R5" i="6"/>
  <c r="V5" i="6" s="1"/>
  <c r="N5" i="6"/>
  <c r="M5" i="6"/>
  <c r="K5" i="6"/>
  <c r="E5" i="6"/>
  <c r="F5" i="6" s="1"/>
  <c r="G5" i="6" s="1"/>
  <c r="R4" i="6"/>
  <c r="N4" i="6"/>
  <c r="M4" i="6"/>
  <c r="K4" i="6"/>
  <c r="E4" i="6"/>
  <c r="F4" i="6" s="1"/>
  <c r="G4" i="6" s="1"/>
  <c r="E3" i="6"/>
  <c r="E2" i="6"/>
  <c r="F2" i="6" s="1"/>
  <c r="G2" i="6" s="1"/>
  <c r="F16" i="6" l="1"/>
  <c r="G16" i="6" s="1"/>
  <c r="N18" i="6"/>
  <c r="P6" i="6" s="1"/>
  <c r="O18" i="6"/>
  <c r="O17" i="6"/>
  <c r="J23" i="6"/>
  <c r="K23" i="6" s="1"/>
  <c r="L23" i="6" s="1"/>
  <c r="J48" i="6"/>
  <c r="J49" i="6" s="1"/>
  <c r="J24" i="6"/>
  <c r="K24" i="6" s="1"/>
  <c r="L24" i="6" s="1"/>
  <c r="E21" i="6"/>
  <c r="F3" i="6"/>
  <c r="G3" i="6" s="1"/>
  <c r="O5" i="6"/>
  <c r="O4" i="6"/>
  <c r="O6" i="6"/>
  <c r="O49" i="6" s="1"/>
  <c r="V4" i="6"/>
  <c r="V6" i="6"/>
  <c r="L44" i="6"/>
  <c r="M35" i="6"/>
  <c r="M44" i="6" s="1"/>
  <c r="X6" i="6" s="1"/>
  <c r="F13" i="6"/>
  <c r="G13" i="6" s="1"/>
  <c r="G21" i="6" l="1"/>
  <c r="P49" i="6"/>
  <c r="R49" i="6" s="1"/>
  <c r="Q49" i="6"/>
  <c r="O47" i="6"/>
  <c r="Q4" i="6"/>
  <c r="T4" i="6" s="1"/>
  <c r="Q5" i="6"/>
  <c r="T5" i="6" s="1"/>
  <c r="O48" i="6"/>
  <c r="Q6" i="6"/>
  <c r="T6" i="6" s="1"/>
  <c r="V12" i="6"/>
  <c r="Y2" i="6" s="1"/>
  <c r="Z2" i="6" s="1"/>
  <c r="U4" i="6"/>
  <c r="L48" i="6"/>
  <c r="L49" i="6" s="1"/>
  <c r="K48" i="6"/>
  <c r="K49" i="6" s="1"/>
  <c r="X4" i="6"/>
  <c r="F21" i="6"/>
  <c r="P47" i="6" l="1"/>
  <c r="Q47" i="6"/>
  <c r="U6" i="6"/>
  <c r="P48" i="6"/>
  <c r="R48" i="6" s="1"/>
  <c r="Q48" i="6"/>
  <c r="U5" i="6"/>
  <c r="Y4" i="6"/>
  <c r="P50" i="6" l="1"/>
  <c r="R47" i="6"/>
  <c r="R50" i="6" s="1"/>
  <c r="Y9" i="6"/>
  <c r="Z4" i="6"/>
  <c r="Y6" i="6" s="1"/>
  <c r="Z6" i="6" s="1"/>
  <c r="Z9" i="6" s="1"/>
  <c r="Y12" i="6" l="1"/>
  <c r="Y13" i="6"/>
</calcChain>
</file>

<file path=xl/comments1.xml><?xml version="1.0" encoding="utf-8"?>
<comments xmlns="http://schemas.openxmlformats.org/spreadsheetml/2006/main">
  <authors>
    <author>Kasia</author>
  </authors>
  <commentList>
    <comment ref="K49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2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3.xml><?xml version="1.0" encoding="utf-8"?>
<comments xmlns="http://schemas.openxmlformats.org/spreadsheetml/2006/main">
  <authors>
    <author>Kasia</author>
  </authors>
  <commentList>
    <comment ref="AD16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4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5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6.xml><?xml version="1.0" encoding="utf-8"?>
<comments xmlns="http://schemas.openxmlformats.org/spreadsheetml/2006/main">
  <authors>
    <author>Kasia</author>
  </authors>
  <commentList>
    <comment ref="AD16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sharedStrings.xml><?xml version="1.0" encoding="utf-8"?>
<sst xmlns="http://schemas.openxmlformats.org/spreadsheetml/2006/main" count="1487" uniqueCount="392">
  <si>
    <t>Produkt</t>
  </si>
  <si>
    <t>Wartość netto</t>
  </si>
  <si>
    <t>Wartość Brutto</t>
  </si>
  <si>
    <t>Suma netto zakupu</t>
  </si>
  <si>
    <t>Suma netto sprzedaży</t>
  </si>
  <si>
    <t>Podatek dochodowy</t>
  </si>
  <si>
    <t>Suma brutto zakupu</t>
  </si>
  <si>
    <t>Suma brutto sprzedaży</t>
  </si>
  <si>
    <t>Ilość</t>
  </si>
  <si>
    <t>Cena</t>
  </si>
  <si>
    <t>VAT</t>
  </si>
  <si>
    <t>VAT Zakupu</t>
  </si>
  <si>
    <t>VAT sprzedaży</t>
  </si>
  <si>
    <t>Suma podatków</t>
  </si>
  <si>
    <t>Zarobek po podatkach</t>
  </si>
  <si>
    <t>Złącze A</t>
  </si>
  <si>
    <t xml:space="preserve"> Złącze B</t>
  </si>
  <si>
    <t>Kabel</t>
  </si>
  <si>
    <t>Suma</t>
  </si>
  <si>
    <t>Z marżą</t>
  </si>
  <si>
    <t>Zarobek brutto</t>
  </si>
  <si>
    <t>Opis</t>
  </si>
  <si>
    <t>Netto</t>
  </si>
  <si>
    <t>Brutto</t>
  </si>
  <si>
    <t>Zakupy</t>
  </si>
  <si>
    <t>Pozostało</t>
  </si>
  <si>
    <t>Długość [m]</t>
  </si>
  <si>
    <t>Robocizna</t>
  </si>
  <si>
    <t>Marża</t>
  </si>
  <si>
    <t>wsp</t>
  </si>
  <si>
    <t>Koszt [zł/1h]</t>
  </si>
  <si>
    <t>Wiązka</t>
  </si>
  <si>
    <t>Vat do odprowadzenia</t>
  </si>
  <si>
    <t>Kod</t>
  </si>
  <si>
    <t>09670003476</t>
  </si>
  <si>
    <t>Transport</t>
  </si>
  <si>
    <t xml:space="preserve"> </t>
  </si>
  <si>
    <t>Narzut</t>
  </si>
  <si>
    <t>Rezystor 120ohm</t>
  </si>
  <si>
    <t>JLR cable</t>
  </si>
  <si>
    <t>A48 cable</t>
  </si>
  <si>
    <t>Złącze JLR TYCO 1-1563759-1</t>
  </si>
  <si>
    <t>Złącze A48 TE 1J0973737 + Piny</t>
  </si>
  <si>
    <t>Wkład D-Sub</t>
  </si>
  <si>
    <t>Piny D-Sub</t>
  </si>
  <si>
    <t>Obudowa  DSP9</t>
  </si>
  <si>
    <t>Oplot</t>
  </si>
  <si>
    <t>Termokurcze</t>
  </si>
  <si>
    <t>Trytki</t>
  </si>
  <si>
    <t>A48</t>
  </si>
  <si>
    <t>JLR</t>
  </si>
  <si>
    <t>Oplot 30-50mm</t>
  </si>
  <si>
    <t>PMR01TJ0121A50</t>
  </si>
  <si>
    <t>1J0973737</t>
  </si>
  <si>
    <t>Wtyk typu Banan czarny</t>
  </si>
  <si>
    <t>Wtyk typu Banan czerwony</t>
  </si>
  <si>
    <t>Wtyk typu Krokodyl czarny</t>
  </si>
  <si>
    <t>Wtyk typu Krokodyl czerwony</t>
  </si>
  <si>
    <t>CRCLBL-03</t>
  </si>
  <si>
    <t>CRCLRE-03</t>
  </si>
  <si>
    <t>FK15LNI/1/SW</t>
  </si>
  <si>
    <t>FK15LNI/1/RT</t>
  </si>
  <si>
    <t>Pozostałe koszty</t>
  </si>
  <si>
    <t>Piny TYCO</t>
  </si>
  <si>
    <t>1241380-1</t>
  </si>
  <si>
    <t>Volvo</t>
  </si>
  <si>
    <t>żyła 0,75 mm2 zielona</t>
  </si>
  <si>
    <t>żyła 1 mm2 czarna</t>
  </si>
  <si>
    <t>09670094701</t>
  </si>
  <si>
    <t>DSC-809A</t>
  </si>
  <si>
    <t>El-Kan</t>
  </si>
  <si>
    <t>Arrow</t>
  </si>
  <si>
    <t>Nord</t>
  </si>
  <si>
    <t>nr FV</t>
  </si>
  <si>
    <t>netto</t>
  </si>
  <si>
    <t>brutto</t>
  </si>
  <si>
    <t>Power Tools (strefa drukarek)</t>
  </si>
  <si>
    <t>417/MAG/07/2019</t>
  </si>
  <si>
    <t>HG System narzędzia</t>
  </si>
  <si>
    <t>301/07/2019</t>
  </si>
  <si>
    <t>PSP zapakujemy.pl</t>
  </si>
  <si>
    <t>6898/G/07/2019</t>
  </si>
  <si>
    <t>444/NES/19/FV</t>
  </si>
  <si>
    <t>BAT Polallegro złącze</t>
  </si>
  <si>
    <t>A005985/2019</t>
  </si>
  <si>
    <t>132/JK/07/2019</t>
  </si>
  <si>
    <t>Suma Kosztów</t>
  </si>
  <si>
    <t>1-1563759-1</t>
  </si>
  <si>
    <t>Cartridge</t>
  </si>
  <si>
    <t>Kartony</t>
  </si>
  <si>
    <t>Cyna</t>
  </si>
  <si>
    <t>Klej</t>
  </si>
  <si>
    <t>Złącza</t>
  </si>
  <si>
    <t>kurs Euro</t>
  </si>
  <si>
    <t>EUR-o</t>
  </si>
  <si>
    <t>5% Sławomira</t>
  </si>
  <si>
    <t>Suma Net</t>
  </si>
  <si>
    <t>Ilość wiązek</t>
  </si>
  <si>
    <t>4TCAB</t>
  </si>
  <si>
    <t>Volvo cable</t>
  </si>
  <si>
    <t>Ilość szt.</t>
  </si>
  <si>
    <t>Koszt [zł/1s]</t>
  </si>
  <si>
    <t>Czas [s] na 1szt.</t>
  </si>
  <si>
    <t>Czas [s] na 20szt.</t>
  </si>
  <si>
    <t>Koszt całk.  [zł] 1szt.</t>
  </si>
  <si>
    <t>Koszt całk.  [zł] 20szt.</t>
  </si>
  <si>
    <t>Czas [h] na 1szt.</t>
  </si>
  <si>
    <t>Czas [h] na 20szt.</t>
  </si>
  <si>
    <t>Robocizna na 2 Osoby ---&gt;</t>
  </si>
  <si>
    <t>Cena 1szt. Wiązki</t>
  </si>
  <si>
    <t>Koszt Części Net 1szt.</t>
  </si>
  <si>
    <t xml:space="preserve">Volvo Cable </t>
  </si>
  <si>
    <t xml:space="preserve">A48 Cable </t>
  </si>
  <si>
    <t xml:space="preserve">JLR Cable </t>
  </si>
  <si>
    <t>Koszt Części Net 20szt.</t>
  </si>
  <si>
    <t>suma kosztów Netto</t>
  </si>
  <si>
    <t>suma kosztów Brutto</t>
  </si>
  <si>
    <t>Narzędzia</t>
  </si>
  <si>
    <t xml:space="preserve">LV Blok Testowy Nr1 </t>
  </si>
  <si>
    <t>LV Blok Testowy Nr2</t>
  </si>
  <si>
    <t>LV Blok Testowy Nr3</t>
  </si>
  <si>
    <t>MOLEX</t>
  </si>
  <si>
    <t>Piny MOLEX</t>
  </si>
  <si>
    <t>strona A</t>
  </si>
  <si>
    <t>strona B</t>
  </si>
  <si>
    <t>Blok Testowy</t>
  </si>
  <si>
    <t>przewód 0,5 mm2 zielona</t>
  </si>
  <si>
    <t>Oplot Box (10m) 14-18mm</t>
  </si>
  <si>
    <t>CYG-PET15 BOX CYG</t>
  </si>
  <si>
    <t>Kabel (i oplot)</t>
  </si>
  <si>
    <t>3DPRO</t>
  </si>
  <si>
    <t>Zarobek po podat. Per szt.</t>
  </si>
  <si>
    <t>Terminale A</t>
  </si>
  <si>
    <t>Blok nr1</t>
  </si>
  <si>
    <t>Blok nr2</t>
  </si>
  <si>
    <t>Blok nr3</t>
  </si>
  <si>
    <t>Złącze B</t>
  </si>
  <si>
    <t>Terminale B</t>
  </si>
  <si>
    <t>Blok nr1 Próby</t>
  </si>
  <si>
    <t>Blok nr2 Próby</t>
  </si>
  <si>
    <t>Blok nr3 Próby</t>
  </si>
  <si>
    <t>Blok+Próby</t>
  </si>
  <si>
    <t>Blok+Próby Brutto</t>
  </si>
  <si>
    <t>Oferta Netto</t>
  </si>
  <si>
    <t>Wiązka Test. Netto</t>
  </si>
  <si>
    <t>Wiązka Test. Brutto</t>
  </si>
  <si>
    <t>LV Blok Testowy 18</t>
  </si>
  <si>
    <t>LV Blok Testowy 16</t>
  </si>
  <si>
    <t>LV Blok Testowy 10</t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</si>
  <si>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blok16</t>
    </r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</si>
  <si>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blok18</t>
    </r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</si>
  <si>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blok10</t>
    </r>
  </si>
  <si>
    <t>Connector female 14</t>
  </si>
  <si>
    <t>Connector female 6</t>
  </si>
  <si>
    <t>MOLEX raster 4,2</t>
  </si>
  <si>
    <t>Terminale</t>
  </si>
  <si>
    <t>Connector female 20</t>
  </si>
  <si>
    <t>Connector female 16</t>
  </si>
  <si>
    <t>Terminale Żeńskie</t>
  </si>
  <si>
    <t>16 Prób</t>
  </si>
  <si>
    <t>18 Prób</t>
  </si>
  <si>
    <t>10 Prób</t>
  </si>
  <si>
    <t>Przewód 10x0,5</t>
  </si>
  <si>
    <t>Przewód 16x0,5</t>
  </si>
  <si>
    <t>Przewód 18x0,5</t>
  </si>
  <si>
    <t>HELUKABEL LiY-CY</t>
  </si>
  <si>
    <t>Oplot Box10m 14-18mm</t>
  </si>
  <si>
    <t>Złącza, Bloki, Próby, Terminale</t>
  </si>
  <si>
    <t>Termokurcze Czarne</t>
  </si>
  <si>
    <t>NET</t>
  </si>
  <si>
    <t>BRUT</t>
  </si>
  <si>
    <t>Do zapłaty Podwykonawcy Brutto</t>
  </si>
  <si>
    <t>Suma Brutto którą muszę otrzymać z LG</t>
  </si>
  <si>
    <t>Złącza+Terminale po stronie B</t>
  </si>
  <si>
    <t>Karton</t>
  </si>
  <si>
    <t>Vat do zapłaty US</t>
  </si>
  <si>
    <t>VAT sprzedaży\należny</t>
  </si>
  <si>
    <t>Podatek dochodowy PIT</t>
  </si>
  <si>
    <t>20% Sławomira</t>
  </si>
  <si>
    <t>80% Karola</t>
  </si>
  <si>
    <t>Podatki\Zarobki</t>
  </si>
  <si>
    <t>PREDYKCJA</t>
  </si>
  <si>
    <t>RZECZYWISTE</t>
  </si>
  <si>
    <t>EL-KAN</t>
  </si>
  <si>
    <t>Złącze FAKRA D</t>
  </si>
  <si>
    <t>Przewód</t>
  </si>
  <si>
    <t>Złącze FAKRA C</t>
  </si>
  <si>
    <t>Koszt Wysyłki do MAN</t>
  </si>
  <si>
    <t>TME</t>
  </si>
  <si>
    <t>Zarobek per wiązka</t>
  </si>
  <si>
    <t>Termokoszulki</t>
  </si>
  <si>
    <t>współczynnik</t>
  </si>
  <si>
    <t>Przewód RF195</t>
  </si>
  <si>
    <t>Logistyka</t>
  </si>
  <si>
    <t>None</t>
  </si>
  <si>
    <t>Przewód RG58</t>
  </si>
  <si>
    <t>LappKabel</t>
  </si>
  <si>
    <t>Wiązka Antenowa RF195</t>
  </si>
  <si>
    <t>Wiązka Antenowa RG58</t>
  </si>
  <si>
    <t>ELKan</t>
  </si>
  <si>
    <t>Cena 1szt. Wiązki netto</t>
  </si>
  <si>
    <t>z marżą [pln]</t>
  </si>
  <si>
    <t>Koszt Wysyłki</t>
  </si>
  <si>
    <t>Ogólnie</t>
  </si>
  <si>
    <t>x</t>
  </si>
  <si>
    <t>Zarobek</t>
  </si>
  <si>
    <t>Komponent_1</t>
  </si>
  <si>
    <t>Komponent_2</t>
  </si>
  <si>
    <t>Komponent_3</t>
  </si>
  <si>
    <t>Komponent_4</t>
  </si>
  <si>
    <t>Komponent_5</t>
  </si>
  <si>
    <t>Worki Strunowe</t>
  </si>
  <si>
    <t>Lapp</t>
  </si>
  <si>
    <t>Harting</t>
  </si>
  <si>
    <t>Złącze</t>
  </si>
  <si>
    <t>Wiązka BAT</t>
  </si>
  <si>
    <t>Obudowa 9dsub</t>
  </si>
  <si>
    <t>Wkład 9dsub</t>
  </si>
  <si>
    <t>Wiązka WBK</t>
  </si>
  <si>
    <t>Wiązka CAN</t>
  </si>
  <si>
    <t>Wiązka ELA</t>
  </si>
  <si>
    <t>Wiązka FZK</t>
  </si>
  <si>
    <t>Obudowa 25dsub</t>
  </si>
  <si>
    <t>Wkład 25dsub</t>
  </si>
  <si>
    <t>-</t>
  </si>
  <si>
    <t>Opaski</t>
  </si>
  <si>
    <t>Wiązka ETH IPT</t>
  </si>
  <si>
    <t>Wiązka POW IPT</t>
  </si>
  <si>
    <t>Wiązka GPS</t>
  </si>
  <si>
    <t>Wiązka GSM</t>
  </si>
  <si>
    <t>Wiązka WLAN</t>
  </si>
  <si>
    <t>Wiązka RC1</t>
  </si>
  <si>
    <t>Złącze N</t>
  </si>
  <si>
    <t>Tulejki</t>
  </si>
  <si>
    <t>SMC WLAN</t>
  </si>
  <si>
    <t>SMB LTE</t>
  </si>
  <si>
    <t>SMA GPS</t>
  </si>
  <si>
    <t>N</t>
  </si>
  <si>
    <t>BNC</t>
  </si>
  <si>
    <t>Master A.</t>
  </si>
  <si>
    <t>L.p.</t>
  </si>
  <si>
    <t>Złącze A [szt.]</t>
  </si>
  <si>
    <t>Złącze B [szt.]</t>
  </si>
  <si>
    <t>Przewód [m]</t>
  </si>
  <si>
    <t>Ilość Wiązek [szt.]</t>
  </si>
  <si>
    <t>Pojedyncza Wiązka</t>
  </si>
  <si>
    <t>Piny strona A  [szt]</t>
  </si>
  <si>
    <t>Piny strona B  [szt]</t>
  </si>
  <si>
    <t>Ilość Pinów A
[szt]</t>
  </si>
  <si>
    <t>Ilość Pinów B
[szt]</t>
  </si>
  <si>
    <t>Ilość Złącze A [szt.]</t>
  </si>
  <si>
    <t>Ilość Złącze B [szt.]</t>
  </si>
  <si>
    <t>Ilość Przewodu [m]</t>
  </si>
  <si>
    <t>Wkłady
strona
A [szt.]</t>
  </si>
  <si>
    <t>Ilość
Wkładów
A [szt.]</t>
  </si>
  <si>
    <t>Zamówienie</t>
  </si>
  <si>
    <t>piny męskie harting</t>
  </si>
  <si>
    <t>piny żeńskie harting</t>
  </si>
  <si>
    <t>piny męskie HD harting</t>
  </si>
  <si>
    <t>wkład 9 dusb harting</t>
  </si>
  <si>
    <t>80szt.</t>
  </si>
  <si>
    <t>wkład 25 dusb harting</t>
  </si>
  <si>
    <t>obudowa 9&amp;15 dusb harting</t>
  </si>
  <si>
    <t>obudowa 25 dusb harting</t>
  </si>
  <si>
    <t>wkład 15 dusb harting</t>
  </si>
  <si>
    <t>piny żeńskie TME</t>
  </si>
  <si>
    <t>złącze żeńskie TME</t>
  </si>
  <si>
    <t>złącze HPP power harting</t>
  </si>
  <si>
    <t>złącze HPP eth harting</t>
  </si>
  <si>
    <t>złącze M12 eth harting</t>
  </si>
  <si>
    <t>przewód 0,5mm_4żyły</t>
  </si>
  <si>
    <t>przewód 1,5mm_2żyły</t>
  </si>
  <si>
    <t>przewód 0,5mm_8żył</t>
  </si>
  <si>
    <t>przewód 0,34mm_6żył</t>
  </si>
  <si>
    <t>Lista Komponentów</t>
  </si>
  <si>
    <t>Part Number</t>
  </si>
  <si>
    <t>Ilość [szt]</t>
  </si>
  <si>
    <t>Obudowa</t>
  </si>
  <si>
    <t>09670090343</t>
  </si>
  <si>
    <t>Wkład</t>
  </si>
  <si>
    <t>09670095601</t>
  </si>
  <si>
    <t>Piny</t>
  </si>
  <si>
    <t>KAB_WBK_OPEN</t>
  </si>
  <si>
    <t>KAB_ELA_OPEN</t>
  </si>
  <si>
    <t>KAB_FZK_OPEN</t>
  </si>
  <si>
    <t>KAB_POWER_IDR IPT</t>
  </si>
  <si>
    <t>Obudowa A</t>
  </si>
  <si>
    <t>09560008177</t>
  </si>
  <si>
    <t>KAB_ETH_IDR IPT</t>
  </si>
  <si>
    <t>21038811405</t>
  </si>
  <si>
    <t>KAB_CAN_OPEN</t>
  </si>
  <si>
    <t>KAB_BAT</t>
  </si>
  <si>
    <t>926895-1</t>
  </si>
  <si>
    <t>350777-1</t>
  </si>
  <si>
    <t>MAM</t>
  </si>
  <si>
    <t>0</t>
  </si>
  <si>
    <t>40</t>
  </si>
  <si>
    <t>100szt.</t>
  </si>
  <si>
    <t>09670005576</t>
  </si>
  <si>
    <t>09561005601</t>
  </si>
  <si>
    <t>09670250343</t>
  </si>
  <si>
    <t>09670255601</t>
  </si>
  <si>
    <t>09670003576</t>
  </si>
  <si>
    <t>09451459011</t>
  </si>
  <si>
    <t>09670005476</t>
  </si>
  <si>
    <t>09451451106</t>
  </si>
  <si>
    <t>30m</t>
  </si>
  <si>
    <t>100m</t>
  </si>
  <si>
    <t>przewód 0,5mm_10żył</t>
  </si>
  <si>
    <t>ECE R118</t>
  </si>
  <si>
    <t>przewód ETH_4żyły</t>
  </si>
  <si>
    <t>suma [netto]</t>
  </si>
  <si>
    <t>suma [brutto]</t>
  </si>
  <si>
    <t>przewód 0,5mm_16żył</t>
  </si>
  <si>
    <t>300szt.</t>
  </si>
  <si>
    <t>?</t>
  </si>
  <si>
    <t>20szt.</t>
  </si>
  <si>
    <t>10szt.</t>
  </si>
  <si>
    <t>30szt.</t>
  </si>
  <si>
    <t>Backup</t>
  </si>
  <si>
    <t>15m</t>
  </si>
  <si>
    <t>Należy 
Zamówić</t>
  </si>
  <si>
    <t>Haring</t>
  </si>
  <si>
    <t>10 Bus</t>
  </si>
  <si>
    <t>60</t>
  </si>
  <si>
    <t>20</t>
  </si>
  <si>
    <t xml:space="preserve">KABEL ETH </t>
  </si>
  <si>
    <t>[m]</t>
  </si>
  <si>
    <t>Tak</t>
  </si>
  <si>
    <t>Nie</t>
  </si>
  <si>
    <t>Done</t>
  </si>
  <si>
    <t>150m</t>
  </si>
  <si>
    <t>Cena x Ilość</t>
  </si>
  <si>
    <t>Link</t>
  </si>
  <si>
    <t>Komponent</t>
  </si>
  <si>
    <t>Cena Jedn.</t>
  </si>
  <si>
    <t>Ilośc</t>
  </si>
  <si>
    <t>Cena Netto</t>
  </si>
  <si>
    <t>OPIS</t>
  </si>
  <si>
    <t>Termokoszulki z klejem</t>
  </si>
  <si>
    <t>Termokoszulki bez kleju</t>
  </si>
  <si>
    <t>Tulejki Zaciskane</t>
  </si>
  <si>
    <t>Koszt Wysyłki Towarów do Mnie</t>
  </si>
  <si>
    <t>Komponent_6</t>
  </si>
  <si>
    <t>Komponent_7</t>
  </si>
  <si>
    <t>Komponent_8</t>
  </si>
  <si>
    <t>Komponent_10</t>
  </si>
  <si>
    <t>Komponent_9</t>
  </si>
  <si>
    <t>Komponent_13</t>
  </si>
  <si>
    <t>Komponent_12</t>
  </si>
  <si>
    <t>Komponent_11</t>
  </si>
  <si>
    <t>Oznakowanie</t>
  </si>
  <si>
    <t>HPP Power 2m</t>
  </si>
  <si>
    <t>HPP Power</t>
  </si>
  <si>
    <t>Piny Female</t>
  </si>
  <si>
    <t>D-sub 15</t>
  </si>
  <si>
    <t>Piny HD Male</t>
  </si>
  <si>
    <t>Dsub 9 Male</t>
  </si>
  <si>
    <t>Dsub 9 Female</t>
  </si>
  <si>
    <t>Piny Male</t>
  </si>
  <si>
    <t>HPP Power 16m</t>
  </si>
  <si>
    <t>HPP Power 20m</t>
  </si>
  <si>
    <t>Obudowa d-sub</t>
  </si>
  <si>
    <t>HPP ETH 2m</t>
  </si>
  <si>
    <t>HPP ETH 16m</t>
  </si>
  <si>
    <t>HPP ETH 20m</t>
  </si>
  <si>
    <t>HPP ETH</t>
  </si>
  <si>
    <t>M12 Male</t>
  </si>
  <si>
    <t>M12 Female</t>
  </si>
  <si>
    <t>GPS 7m</t>
  </si>
  <si>
    <t>WLAN 7m</t>
  </si>
  <si>
    <t>LTE 7m</t>
  </si>
  <si>
    <t>RC4 7m</t>
  </si>
  <si>
    <t>Fakra Prosta</t>
  </si>
  <si>
    <t>SMA Proste</t>
  </si>
  <si>
    <t>SMB Proste</t>
  </si>
  <si>
    <t>SMC Proste</t>
  </si>
  <si>
    <t>Przewód RF316D</t>
  </si>
  <si>
    <t>Wtyk N</t>
  </si>
  <si>
    <t>Wtyk BNC</t>
  </si>
  <si>
    <t>D-sub 25</t>
  </si>
  <si>
    <t>D-sub 9</t>
  </si>
  <si>
    <t>Wtyk POW</t>
  </si>
  <si>
    <t>FZK 3m</t>
  </si>
  <si>
    <t xml:space="preserve">ELA 3m </t>
  </si>
  <si>
    <t>WBK 3m</t>
  </si>
  <si>
    <t>BAT 3m</t>
  </si>
  <si>
    <t>Dostawca</t>
  </si>
  <si>
    <t>Trapeze</t>
  </si>
  <si>
    <t>Molex</t>
  </si>
  <si>
    <t>Aste H+S</t>
  </si>
  <si>
    <t>faktura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</si>
</sst>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#,##0.00\ &quot;zł&quot;"/>
  </numFmts>
  <fonts count="5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1"/>
      <color indexed="54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Arial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4"/>
      <name val="Calibri Light"/>
      <family val="2"/>
      <charset val="238"/>
    </font>
    <font>
      <sz val="11"/>
      <color indexed="20"/>
      <name val="Czcionka tekstu podstawowego"/>
      <family val="2"/>
      <charset val="238"/>
    </font>
    <font>
      <b/>
      <sz val="10"/>
      <color indexed="8"/>
      <name val="Arial"/>
      <family val="2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b/>
      <sz val="11"/>
      <color indexed="9"/>
      <name val="Czcionka tekstu podstawowego"/>
      <charset val="238"/>
    </font>
    <font>
      <sz val="11"/>
      <color rgb="FFC00000"/>
      <name val="Calibri"/>
      <family val="2"/>
      <charset val="238"/>
      <scheme val="minor"/>
    </font>
    <font>
      <b/>
      <sz val="11"/>
      <color indexed="63"/>
      <name val="Czcionka tekstu podstawowego"/>
      <charset val="238"/>
    </font>
    <font>
      <b/>
      <sz val="11"/>
      <color rgb="FF006100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color theme="4"/>
      <name val="Arial"/>
      <family val="2"/>
      <charset val="238"/>
    </font>
    <font>
      <b/>
      <sz val="11"/>
      <color rgb="FFC00000"/>
      <name val="Czcionka tekstu podstawowego"/>
      <charset val="238"/>
    </font>
    <font>
      <b/>
      <sz val="9"/>
      <color indexed="81"/>
      <name val="Tahoma"/>
      <family val="2"/>
      <charset val="238"/>
    </font>
    <font>
      <u/>
      <sz val="10"/>
      <color theme="10"/>
      <name val="Arial"/>
      <charset val="238"/>
    </font>
    <font>
      <sz val="10"/>
      <color rgb="FF2E353B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0"/>
      <color theme="0"/>
      <name val="Arial"/>
      <family val="2"/>
    </font>
    <font>
      <sz val="10"/>
      <color theme="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zcionka tekstu podstawowego"/>
      <family val="2"/>
      <charset val="238"/>
    </font>
    <font>
      <sz val="9"/>
      <color indexed="81"/>
      <name val="Tahoma"/>
      <charset val="1"/>
    </font>
    <font>
      <sz val="10"/>
      <color rgb="FFFF0000"/>
      <name val="Arial"/>
      <family val="2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C00000"/>
      <name val="Arial"/>
      <family val="2"/>
      <charset val="238"/>
    </font>
    <font>
      <sz val="10"/>
      <color rgb="FF00B050"/>
      <name val="Arial"/>
      <family val="2"/>
      <charset val="238"/>
    </font>
    <font>
      <sz val="10"/>
      <color rgb="FF00B0F0"/>
      <name val="Arial"/>
      <family val="2"/>
      <charset val="238"/>
    </font>
    <font>
      <sz val="10"/>
      <color rgb="FF7030A0"/>
      <name val="Arial"/>
      <family val="2"/>
      <charset val="238"/>
    </font>
    <font>
      <sz val="10"/>
      <color theme="5" tint="-0.499984740745262"/>
      <name val="Arial"/>
      <family val="2"/>
      <charset val="238"/>
    </font>
    <font>
      <b/>
      <sz val="11"/>
      <color theme="1"/>
      <name val="Century"/>
      <family val="1"/>
      <charset val="238"/>
    </font>
    <font>
      <b/>
      <sz val="11"/>
      <color theme="1"/>
      <name val="Century"/>
      <family val="1"/>
    </font>
    <font>
      <sz val="11"/>
      <color theme="1"/>
      <name val="Century"/>
      <family val="1"/>
      <charset val="238"/>
    </font>
    <font>
      <sz val="11"/>
      <color theme="1"/>
      <name val="Century"/>
      <family val="1"/>
    </font>
    <font>
      <b/>
      <sz val="11"/>
      <name val="Century"/>
      <family val="1"/>
      <charset val="238"/>
    </font>
    <font>
      <b/>
      <sz val="10"/>
      <color rgb="FFFF0000"/>
      <name val="Arial"/>
      <family val="2"/>
      <charset val="238"/>
    </font>
  </fonts>
  <fills count="3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5" fillId="3" borderId="1" applyNumberFormat="0" applyAlignment="0" applyProtection="0"/>
    <xf numFmtId="0" fontId="6" fillId="9" borderId="2" applyNumberFormat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14" borderId="4" applyNumberFormat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5" fillId="9" borderId="1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4" fillId="5" borderId="9" applyNumberFormat="0" applyFont="0" applyAlignment="0" applyProtection="0"/>
    <xf numFmtId="0" fontId="20" fillId="17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0" borderId="0" applyNumberFormat="0" applyFill="0" applyBorder="0" applyAlignment="0" applyProtection="0"/>
  </cellStyleXfs>
  <cellXfs count="383">
    <xf numFmtId="0" fontId="0" fillId="0" borderId="0" xfId="0"/>
    <xf numFmtId="0" fontId="14" fillId="0" borderId="0" xfId="35"/>
    <xf numFmtId="0" fontId="21" fillId="0" borderId="0" xfId="35" applyFont="1"/>
    <xf numFmtId="2" fontId="14" fillId="0" borderId="0" xfId="35" applyNumberFormat="1"/>
    <xf numFmtId="2" fontId="21" fillId="0" borderId="0" xfId="35" applyNumberFormat="1" applyFont="1"/>
    <xf numFmtId="0" fontId="14" fillId="0" borderId="10" xfId="35" applyFont="1" applyBorder="1"/>
    <xf numFmtId="0" fontId="14" fillId="0" borderId="10" xfId="35" applyBorder="1"/>
    <xf numFmtId="2" fontId="14" fillId="0" borderId="10" xfId="35" applyNumberFormat="1" applyBorder="1"/>
    <xf numFmtId="0" fontId="14" fillId="0" borderId="0" xfId="35" applyBorder="1"/>
    <xf numFmtId="2" fontId="0" fillId="0" borderId="10" xfId="0" applyNumberFormat="1" applyBorder="1"/>
    <xf numFmtId="2" fontId="0" fillId="0" borderId="0" xfId="0" applyNumberFormat="1" applyFill="1" applyBorder="1"/>
    <xf numFmtId="0" fontId="14" fillId="0" borderId="0" xfId="35" applyBorder="1" applyAlignment="1">
      <alignment horizontal="center"/>
    </xf>
    <xf numFmtId="0" fontId="14" fillId="0" borderId="0" xfId="35" applyFill="1" applyBorder="1"/>
    <xf numFmtId="2" fontId="14" fillId="0" borderId="0" xfId="35" applyNumberFormat="1" applyBorder="1"/>
    <xf numFmtId="0" fontId="14" fillId="19" borderId="10" xfId="35" applyFont="1" applyFill="1" applyBorder="1"/>
    <xf numFmtId="0" fontId="14" fillId="20" borderId="10" xfId="35" applyFill="1" applyBorder="1"/>
    <xf numFmtId="0" fontId="14" fillId="18" borderId="10" xfId="35" applyFill="1" applyBorder="1"/>
    <xf numFmtId="2" fontId="14" fillId="18" borderId="10" xfId="35" applyNumberFormat="1" applyFont="1" applyFill="1" applyBorder="1"/>
    <xf numFmtId="0" fontId="0" fillId="0" borderId="10" xfId="0" applyBorder="1"/>
    <xf numFmtId="0" fontId="0" fillId="0" borderId="10" xfId="0" quotePrefix="1" applyBorder="1"/>
    <xf numFmtId="0" fontId="14" fillId="18" borderId="10" xfId="35" applyFont="1" applyFill="1" applyBorder="1"/>
    <xf numFmtId="0" fontId="0" fillId="0" borderId="11" xfId="0" applyFill="1" applyBorder="1"/>
    <xf numFmtId="0" fontId="14" fillId="0" borderId="10" xfId="35" applyFill="1" applyBorder="1"/>
    <xf numFmtId="0" fontId="0" fillId="0" borderId="10" xfId="0" applyFill="1" applyBorder="1"/>
    <xf numFmtId="0" fontId="14" fillId="0" borderId="10" xfId="35" applyFont="1" applyFill="1" applyBorder="1"/>
    <xf numFmtId="2" fontId="0" fillId="0" borderId="10" xfId="0" applyNumberFormat="1" applyFill="1" applyBorder="1"/>
    <xf numFmtId="2" fontId="0" fillId="0" borderId="0" xfId="0" applyNumberFormat="1"/>
    <xf numFmtId="10" fontId="14" fillId="0" borderId="10" xfId="35" applyNumberFormat="1" applyBorder="1"/>
    <xf numFmtId="0" fontId="14" fillId="0" borderId="0" xfId="35" applyFont="1"/>
    <xf numFmtId="0" fontId="24" fillId="0" borderId="10" xfId="0" quotePrefix="1" applyFont="1" applyBorder="1"/>
    <xf numFmtId="0" fontId="24" fillId="0" borderId="10" xfId="0" applyFont="1" applyBorder="1"/>
    <xf numFmtId="0" fontId="14" fillId="0" borderId="11" xfId="35" applyFill="1" applyBorder="1"/>
    <xf numFmtId="2" fontId="14" fillId="0" borderId="11" xfId="35" applyNumberFormat="1" applyFill="1" applyBorder="1"/>
    <xf numFmtId="0" fontId="0" fillId="0" borderId="0" xfId="0" applyBorder="1"/>
    <xf numFmtId="0" fontId="24" fillId="0" borderId="0" xfId="0" quotePrefix="1" applyFont="1" applyBorder="1"/>
    <xf numFmtId="0" fontId="14" fillId="0" borderId="15" xfId="35" applyBorder="1"/>
    <xf numFmtId="0" fontId="0" fillId="0" borderId="15" xfId="0" applyBorder="1"/>
    <xf numFmtId="2" fontId="0" fillId="0" borderId="15" xfId="0" applyNumberFormat="1" applyBorder="1"/>
    <xf numFmtId="2" fontId="14" fillId="0" borderId="15" xfId="35" applyNumberFormat="1" applyBorder="1"/>
    <xf numFmtId="0" fontId="14" fillId="0" borderId="16" xfId="35" applyBorder="1"/>
    <xf numFmtId="2" fontId="14" fillId="0" borderId="18" xfId="35" applyNumberFormat="1" applyBorder="1"/>
    <xf numFmtId="0" fontId="0" fillId="0" borderId="19" xfId="0" applyBorder="1"/>
    <xf numFmtId="2" fontId="0" fillId="0" borderId="19" xfId="0" applyNumberFormat="1" applyBorder="1"/>
    <xf numFmtId="2" fontId="14" fillId="0" borderId="19" xfId="35" applyNumberFormat="1" applyBorder="1"/>
    <xf numFmtId="0" fontId="0" fillId="0" borderId="20" xfId="0" applyBorder="1"/>
    <xf numFmtId="0" fontId="22" fillId="0" borderId="0" xfId="35" applyFont="1" applyAlignment="1">
      <alignment horizontal="center" wrapText="1"/>
    </xf>
    <xf numFmtId="2" fontId="14" fillId="18" borderId="10" xfId="35" applyNumberFormat="1" applyFill="1" applyBorder="1" applyAlignment="1">
      <alignment horizontal="center"/>
    </xf>
    <xf numFmtId="0" fontId="22" fillId="0" borderId="0" xfId="35" applyFont="1" applyBorder="1" applyAlignment="1">
      <alignment horizontal="center" wrapText="1"/>
    </xf>
    <xf numFmtId="0" fontId="14" fillId="20" borderId="0" xfId="35" applyFill="1" applyBorder="1"/>
    <xf numFmtId="2" fontId="21" fillId="0" borderId="0" xfId="35" applyNumberFormat="1" applyFont="1" applyFill="1"/>
    <xf numFmtId="9" fontId="26" fillId="12" borderId="7" xfId="18" applyNumberFormat="1" applyFont="1" applyBorder="1"/>
    <xf numFmtId="2" fontId="26" fillId="12" borderId="7" xfId="18" applyNumberFormat="1" applyFont="1" applyBorder="1"/>
    <xf numFmtId="0" fontId="23" fillId="0" borderId="0" xfId="35" applyFont="1" applyAlignment="1">
      <alignment horizontal="right"/>
    </xf>
    <xf numFmtId="0" fontId="14" fillId="0" borderId="0" xfId="35" applyBorder="1" applyAlignment="1">
      <alignment horizontal="right"/>
    </xf>
    <xf numFmtId="0" fontId="0" fillId="0" borderId="0" xfId="0" applyAlignment="1">
      <alignment horizontal="right"/>
    </xf>
    <xf numFmtId="2" fontId="14" fillId="0" borderId="0" xfId="35" applyNumberFormat="1" applyBorder="1" applyAlignment="1">
      <alignment horizontal="right"/>
    </xf>
    <xf numFmtId="0" fontId="26" fillId="14" borderId="16" xfId="21" applyFont="1" applyBorder="1"/>
    <xf numFmtId="0" fontId="26" fillId="14" borderId="17" xfId="21" applyFont="1" applyBorder="1"/>
    <xf numFmtId="0" fontId="26" fillId="14" borderId="18" xfId="21" applyFont="1" applyBorder="1"/>
    <xf numFmtId="0" fontId="23" fillId="20" borderId="10" xfId="35" applyFont="1" applyFill="1" applyBorder="1"/>
    <xf numFmtId="0" fontId="4" fillId="14" borderId="10" xfId="21" applyBorder="1"/>
    <xf numFmtId="2" fontId="4" fillId="14" borderId="10" xfId="21" applyNumberFormat="1" applyBorder="1"/>
    <xf numFmtId="0" fontId="25" fillId="21" borderId="10" xfId="43" applyBorder="1"/>
    <xf numFmtId="2" fontId="27" fillId="22" borderId="8" xfId="44" applyNumberFormat="1" applyFont="1" applyBorder="1"/>
    <xf numFmtId="0" fontId="28" fillId="9" borderId="2" xfId="26" applyFont="1"/>
    <xf numFmtId="2" fontId="28" fillId="9" borderId="2" xfId="26" applyNumberFormat="1" applyFont="1"/>
    <xf numFmtId="0" fontId="14" fillId="0" borderId="0" xfId="35" applyAlignment="1">
      <alignment horizontal="right"/>
    </xf>
    <xf numFmtId="0" fontId="29" fillId="21" borderId="10" xfId="43" applyFont="1" applyBorder="1"/>
    <xf numFmtId="0" fontId="24" fillId="0" borderId="10" xfId="0" applyNumberFormat="1" applyFont="1" applyFill="1" applyBorder="1"/>
    <xf numFmtId="0" fontId="23" fillId="0" borderId="0" xfId="35" applyFont="1" applyAlignment="1"/>
    <xf numFmtId="0" fontId="23" fillId="0" borderId="21" xfId="35" applyFont="1" applyBorder="1" applyAlignment="1"/>
    <xf numFmtId="0" fontId="1" fillId="23" borderId="1" xfId="45" applyBorder="1"/>
    <xf numFmtId="2" fontId="23" fillId="0" borderId="10" xfId="35" applyNumberFormat="1" applyFont="1" applyFill="1" applyBorder="1"/>
    <xf numFmtId="0" fontId="24" fillId="0" borderId="22" xfId="0" applyFont="1" applyBorder="1" applyAlignment="1">
      <alignment horizontal="right"/>
    </xf>
    <xf numFmtId="0" fontId="24" fillId="0" borderId="20" xfId="0" applyFont="1" applyBorder="1" applyAlignment="1">
      <alignment horizontal="right"/>
    </xf>
    <xf numFmtId="2" fontId="30" fillId="0" borderId="23" xfId="0" applyNumberFormat="1" applyFont="1" applyBorder="1"/>
    <xf numFmtId="2" fontId="22" fillId="0" borderId="17" xfId="35" applyNumberFormat="1" applyFont="1" applyBorder="1"/>
    <xf numFmtId="0" fontId="22" fillId="0" borderId="0" xfId="35" applyFont="1"/>
    <xf numFmtId="0" fontId="4" fillId="14" borderId="0" xfId="21" applyBorder="1" applyAlignment="1">
      <alignment horizontal="center"/>
    </xf>
    <xf numFmtId="0" fontId="4" fillId="14" borderId="0" xfId="21" applyBorder="1"/>
    <xf numFmtId="0" fontId="26" fillId="14" borderId="24" xfId="21" applyFont="1" applyBorder="1"/>
    <xf numFmtId="2" fontId="22" fillId="0" borderId="24" xfId="35" applyNumberFormat="1" applyFont="1" applyBorder="1"/>
    <xf numFmtId="0" fontId="31" fillId="0" borderId="0" xfId="35" applyFont="1" applyAlignment="1">
      <alignment horizontal="left"/>
    </xf>
    <xf numFmtId="2" fontId="31" fillId="0" borderId="0" xfId="35" applyNumberFormat="1" applyFont="1" applyFill="1" applyAlignment="1">
      <alignment horizontal="center"/>
    </xf>
    <xf numFmtId="0" fontId="22" fillId="0" borderId="0" xfId="35" applyFont="1" applyAlignment="1">
      <alignment horizontal="center"/>
    </xf>
    <xf numFmtId="2" fontId="22" fillId="24" borderId="10" xfId="35" applyNumberFormat="1" applyFont="1" applyFill="1" applyBorder="1"/>
    <xf numFmtId="2" fontId="22" fillId="0" borderId="0" xfId="35" applyNumberFormat="1" applyFont="1"/>
    <xf numFmtId="2" fontId="22" fillId="25" borderId="0" xfId="35" applyNumberFormat="1" applyFont="1" applyFill="1"/>
    <xf numFmtId="0" fontId="22" fillId="0" borderId="0" xfId="35" applyFont="1" applyAlignment="1">
      <alignment horizontal="right"/>
    </xf>
    <xf numFmtId="164" fontId="14" fillId="0" borderId="0" xfId="35" applyNumberFormat="1"/>
    <xf numFmtId="0" fontId="24" fillId="0" borderId="0" xfId="0" applyFont="1"/>
    <xf numFmtId="8" fontId="0" fillId="0" borderId="0" xfId="0" applyNumberFormat="1"/>
    <xf numFmtId="0" fontId="24" fillId="0" borderId="10" xfId="0" quotePrefix="1" applyFont="1" applyBorder="1" applyAlignment="1">
      <alignment vertical="center"/>
    </xf>
    <xf numFmtId="0" fontId="4" fillId="14" borderId="10" xfId="21" applyBorder="1" applyAlignment="1">
      <alignment vertical="center"/>
    </xf>
    <xf numFmtId="0" fontId="14" fillId="0" borderId="10" xfId="35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4" fillId="0" borderId="0" xfId="0" quotePrefix="1" applyFont="1" applyBorder="1" applyAlignment="1">
      <alignment vertical="center"/>
    </xf>
    <xf numFmtId="0" fontId="24" fillId="0" borderId="10" xfId="0" applyFont="1" applyFill="1" applyBorder="1"/>
    <xf numFmtId="0" fontId="0" fillId="0" borderId="0" xfId="0" applyFill="1" applyBorder="1"/>
    <xf numFmtId="0" fontId="14" fillId="0" borderId="0" xfId="35" applyFill="1"/>
    <xf numFmtId="0" fontId="22" fillId="0" borderId="0" xfId="35" applyFont="1" applyFill="1"/>
    <xf numFmtId="2" fontId="22" fillId="0" borderId="0" xfId="35" applyNumberFormat="1" applyFont="1" applyFill="1"/>
    <xf numFmtId="0" fontId="14" fillId="0" borderId="0" xfId="35" applyFill="1" applyBorder="1" applyAlignment="1"/>
    <xf numFmtId="0" fontId="14" fillId="0" borderId="26" xfId="35" applyBorder="1"/>
    <xf numFmtId="0" fontId="14" fillId="0" borderId="27" xfId="35" applyBorder="1"/>
    <xf numFmtId="0" fontId="22" fillId="0" borderId="27" xfId="35" applyFont="1" applyBorder="1" applyAlignment="1">
      <alignment horizontal="right"/>
    </xf>
    <xf numFmtId="0" fontId="30" fillId="0" borderId="27" xfId="0" applyFont="1" applyBorder="1" applyAlignment="1">
      <alignment horizontal="right"/>
    </xf>
    <xf numFmtId="0" fontId="22" fillId="0" borderId="28" xfId="35" applyFont="1" applyBorder="1" applyAlignment="1">
      <alignment horizontal="right"/>
    </xf>
    <xf numFmtId="0" fontId="14" fillId="0" borderId="31" xfId="35" applyBorder="1"/>
    <xf numFmtId="2" fontId="23" fillId="0" borderId="0" xfId="35" applyNumberFormat="1" applyFont="1" applyBorder="1"/>
    <xf numFmtId="0" fontId="24" fillId="0" borderId="0" xfId="0" applyFont="1" applyBorder="1"/>
    <xf numFmtId="0" fontId="23" fillId="0" borderId="29" xfId="35" applyFont="1" applyBorder="1"/>
    <xf numFmtId="0" fontId="30" fillId="0" borderId="21" xfId="35" applyFont="1" applyBorder="1"/>
    <xf numFmtId="2" fontId="32" fillId="9" borderId="2" xfId="26" applyNumberFormat="1" applyFont="1"/>
    <xf numFmtId="0" fontId="1" fillId="0" borderId="0" xfId="45" applyFill="1" applyBorder="1"/>
    <xf numFmtId="2" fontId="14" fillId="0" borderId="0" xfId="35" applyNumberFormat="1" applyFill="1" applyBorder="1"/>
    <xf numFmtId="0" fontId="24" fillId="0" borderId="0" xfId="0" applyFont="1" applyFill="1" applyBorder="1" applyAlignment="1">
      <alignment horizontal="right"/>
    </xf>
    <xf numFmtId="2" fontId="30" fillId="0" borderId="0" xfId="0" applyNumberFormat="1" applyFont="1" applyFill="1" applyBorder="1"/>
    <xf numFmtId="0" fontId="30" fillId="0" borderId="0" xfId="35" applyFont="1" applyAlignment="1">
      <alignment horizontal="left"/>
    </xf>
    <xf numFmtId="2" fontId="30" fillId="0" borderId="0" xfId="35" applyNumberFormat="1" applyFont="1" applyFill="1" applyAlignment="1">
      <alignment horizontal="center"/>
    </xf>
    <xf numFmtId="0" fontId="23" fillId="0" borderId="0" xfId="35" applyFont="1" applyAlignment="1">
      <alignment horizontal="center"/>
    </xf>
    <xf numFmtId="2" fontId="23" fillId="0" borderId="0" xfId="35" applyNumberFormat="1" applyFont="1"/>
    <xf numFmtId="0" fontId="24" fillId="0" borderId="0" xfId="0" applyFont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7" fillId="26" borderId="10" xfId="35" applyFont="1" applyFill="1" applyBorder="1"/>
    <xf numFmtId="2" fontId="37" fillId="26" borderId="10" xfId="35" applyNumberFormat="1" applyFont="1" applyFill="1" applyBorder="1"/>
    <xf numFmtId="0" fontId="37" fillId="26" borderId="12" xfId="35" applyFont="1" applyFill="1" applyBorder="1"/>
    <xf numFmtId="2" fontId="37" fillId="26" borderId="14" xfId="35" applyNumberFormat="1" applyFont="1" applyFill="1" applyBorder="1" applyAlignment="1">
      <alignment horizontal="center"/>
    </xf>
    <xf numFmtId="0" fontId="38" fillId="26" borderId="15" xfId="35" applyFont="1" applyFill="1" applyBorder="1" applyAlignment="1"/>
    <xf numFmtId="2" fontId="38" fillId="26" borderId="19" xfId="35" applyNumberFormat="1" applyFont="1" applyFill="1" applyBorder="1" applyAlignment="1">
      <alignment horizontal="center"/>
    </xf>
    <xf numFmtId="0" fontId="39" fillId="26" borderId="10" xfId="43" applyFont="1" applyFill="1" applyBorder="1"/>
    <xf numFmtId="0" fontId="36" fillId="26" borderId="10" xfId="43" applyFont="1" applyFill="1" applyBorder="1"/>
    <xf numFmtId="2" fontId="40" fillId="26" borderId="10" xfId="21" applyNumberFormat="1" applyFont="1" applyFill="1" applyBorder="1"/>
    <xf numFmtId="0" fontId="40" fillId="26" borderId="10" xfId="21" applyFont="1" applyFill="1" applyBorder="1"/>
    <xf numFmtId="0" fontId="40" fillId="26" borderId="10" xfId="21" applyFont="1" applyFill="1" applyBorder="1" applyAlignment="1">
      <alignment vertical="center"/>
    </xf>
    <xf numFmtId="0" fontId="14" fillId="26" borderId="0" xfId="35" applyFill="1"/>
    <xf numFmtId="0" fontId="4" fillId="16" borderId="16" xfId="23" applyBorder="1"/>
    <xf numFmtId="0" fontId="4" fillId="16" borderId="17" xfId="23" applyBorder="1"/>
    <xf numFmtId="0" fontId="4" fillId="16" borderId="18" xfId="23" applyBorder="1"/>
    <xf numFmtId="0" fontId="4" fillId="16" borderId="10" xfId="23" applyBorder="1"/>
    <xf numFmtId="0" fontId="4" fillId="16" borderId="0" xfId="23"/>
    <xf numFmtId="2" fontId="22" fillId="27" borderId="10" xfId="35" applyNumberFormat="1" applyFont="1" applyFill="1" applyBorder="1"/>
    <xf numFmtId="2" fontId="26" fillId="16" borderId="7" xfId="23" applyNumberFormat="1" applyFont="1" applyBorder="1"/>
    <xf numFmtId="2" fontId="28" fillId="27" borderId="2" xfId="26" applyNumberFormat="1" applyFont="1" applyFill="1"/>
    <xf numFmtId="0" fontId="28" fillId="27" borderId="2" xfId="26" applyFont="1" applyFill="1"/>
    <xf numFmtId="2" fontId="32" fillId="27" borderId="2" xfId="26" applyNumberFormat="1" applyFont="1" applyFill="1"/>
    <xf numFmtId="2" fontId="28" fillId="27" borderId="32" xfId="26" applyNumberFormat="1" applyFont="1" applyFill="1" applyBorder="1"/>
    <xf numFmtId="10" fontId="22" fillId="0" borderId="10" xfId="35" applyNumberFormat="1" applyFont="1" applyBorder="1"/>
    <xf numFmtId="0" fontId="23" fillId="0" borderId="0" xfId="35" applyFont="1"/>
    <xf numFmtId="2" fontId="24" fillId="0" borderId="10" xfId="0" applyNumberFormat="1" applyFont="1" applyBorder="1"/>
    <xf numFmtId="2" fontId="30" fillId="0" borderId="17" xfId="35" applyNumberFormat="1" applyFont="1" applyBorder="1"/>
    <xf numFmtId="2" fontId="24" fillId="0" borderId="15" xfId="0" applyNumberFormat="1" applyFont="1" applyBorder="1"/>
    <xf numFmtId="0" fontId="24" fillId="0" borderId="0" xfId="0" applyFont="1" applyAlignment="1"/>
    <xf numFmtId="0" fontId="24" fillId="0" borderId="0" xfId="0" applyFont="1" applyAlignment="1">
      <alignment horizontal="right"/>
    </xf>
    <xf numFmtId="0" fontId="24" fillId="0" borderId="19" xfId="0" applyFont="1" applyBorder="1"/>
    <xf numFmtId="9" fontId="14" fillId="0" borderId="0" xfId="35" applyNumberFormat="1"/>
    <xf numFmtId="0" fontId="42" fillId="0" borderId="0" xfId="35" applyFont="1"/>
    <xf numFmtId="9" fontId="4" fillId="0" borderId="0" xfId="23" applyNumberFormat="1" applyFill="1" applyBorder="1" applyAlignment="1">
      <alignment vertical="center" wrapText="1"/>
    </xf>
    <xf numFmtId="2" fontId="26" fillId="0" borderId="0" xfId="23" applyNumberFormat="1" applyFont="1" applyFill="1" applyBorder="1"/>
    <xf numFmtId="0" fontId="23" fillId="0" borderId="0" xfId="35" applyFont="1" applyBorder="1" applyAlignment="1">
      <alignment horizontal="left" vertical="top"/>
    </xf>
    <xf numFmtId="0" fontId="43" fillId="0" borderId="0" xfId="46" applyFont="1" applyBorder="1" applyAlignment="1">
      <alignment horizontal="left" vertical="top"/>
    </xf>
    <xf numFmtId="2" fontId="14" fillId="0" borderId="10" xfId="35" applyNumberFormat="1" applyBorder="1" applyAlignment="1">
      <alignment horizontal="center"/>
    </xf>
    <xf numFmtId="2" fontId="14" fillId="0" borderId="10" xfId="35" applyNumberFormat="1" applyBorder="1" applyAlignment="1">
      <alignment horizontal="center" vertical="center"/>
    </xf>
    <xf numFmtId="2" fontId="14" fillId="0" borderId="10" xfId="35" applyNumberFormat="1" applyBorder="1" applyAlignment="1">
      <alignment vertical="center"/>
    </xf>
    <xf numFmtId="0" fontId="14" fillId="0" borderId="0" xfId="35" applyFont="1" applyBorder="1"/>
    <xf numFmtId="0" fontId="0" fillId="0" borderId="0" xfId="0" quotePrefix="1"/>
    <xf numFmtId="0" fontId="0" fillId="0" borderId="0" xfId="0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33" xfId="0" applyFont="1" applyBorder="1" applyAlignment="1">
      <alignment horizontal="left" vertical="top" wrapText="1"/>
    </xf>
    <xf numFmtId="0" fontId="30" fillId="0" borderId="34" xfId="0" applyFont="1" applyBorder="1" applyAlignment="1">
      <alignment horizontal="left" vertical="top" wrapText="1"/>
    </xf>
    <xf numFmtId="0" fontId="30" fillId="0" borderId="35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/>
    </xf>
    <xf numFmtId="0" fontId="0" fillId="0" borderId="0" xfId="0" quotePrefix="1" applyBorder="1"/>
    <xf numFmtId="0" fontId="24" fillId="0" borderId="37" xfId="0" applyFont="1" applyBorder="1" applyAlignment="1">
      <alignment horizontal="left" vertical="top"/>
    </xf>
    <xf numFmtId="0" fontId="23" fillId="0" borderId="36" xfId="35" applyFont="1" applyBorder="1" applyAlignment="1">
      <alignment horizontal="left" vertical="top"/>
    </xf>
    <xf numFmtId="0" fontId="24" fillId="0" borderId="38" xfId="0" applyFont="1" applyBorder="1" applyAlignment="1">
      <alignment horizontal="left" vertical="top"/>
    </xf>
    <xf numFmtId="0" fontId="0" fillId="0" borderId="39" xfId="0" quotePrefix="1" applyBorder="1"/>
    <xf numFmtId="0" fontId="24" fillId="0" borderId="39" xfId="0" applyFont="1" applyBorder="1" applyAlignment="1">
      <alignment horizontal="left" vertical="top"/>
    </xf>
    <xf numFmtId="0" fontId="24" fillId="0" borderId="40" xfId="0" applyFont="1" applyBorder="1" applyAlignment="1">
      <alignment horizontal="left" vertical="top"/>
    </xf>
    <xf numFmtId="0" fontId="24" fillId="24" borderId="0" xfId="0" applyFont="1" applyFill="1" applyBorder="1" applyAlignment="1">
      <alignment horizontal="left" vertical="top"/>
    </xf>
    <xf numFmtId="0" fontId="24" fillId="25" borderId="39" xfId="0" applyFont="1" applyFill="1" applyBorder="1" applyAlignment="1">
      <alignment horizontal="left" vertical="top"/>
    </xf>
    <xf numFmtId="0" fontId="24" fillId="28" borderId="39" xfId="0" applyFont="1" applyFill="1" applyBorder="1" applyAlignment="1">
      <alignment horizontal="left" vertical="top"/>
    </xf>
    <xf numFmtId="0" fontId="24" fillId="29" borderId="0" xfId="0" applyFont="1" applyFill="1" applyBorder="1" applyAlignment="1">
      <alignment horizontal="left" vertical="top"/>
    </xf>
    <xf numFmtId="0" fontId="24" fillId="30" borderId="0" xfId="0" applyFont="1" applyFill="1" applyBorder="1" applyAlignment="1">
      <alignment horizontal="left" vertical="top"/>
    </xf>
    <xf numFmtId="0" fontId="24" fillId="31" borderId="0" xfId="0" applyFont="1" applyFill="1" applyBorder="1" applyAlignment="1">
      <alignment horizontal="left" vertical="top"/>
    </xf>
    <xf numFmtId="0" fontId="24" fillId="31" borderId="0" xfId="0" applyFont="1" applyFill="1" applyAlignment="1">
      <alignment horizontal="left" vertical="top"/>
    </xf>
    <xf numFmtId="0" fontId="24" fillId="32" borderId="0" xfId="0" applyFont="1" applyFill="1" applyBorder="1" applyAlignment="1">
      <alignment horizontal="left" vertical="top"/>
    </xf>
    <xf numFmtId="0" fontId="24" fillId="32" borderId="0" xfId="0" applyFont="1" applyFill="1" applyAlignment="1">
      <alignment horizontal="left" vertical="top"/>
    </xf>
    <xf numFmtId="0" fontId="24" fillId="33" borderId="39" xfId="0" applyFont="1" applyFill="1" applyBorder="1" applyAlignment="1">
      <alignment horizontal="left" vertical="top"/>
    </xf>
    <xf numFmtId="0" fontId="24" fillId="27" borderId="0" xfId="0" applyFont="1" applyFill="1" applyAlignment="1">
      <alignment horizontal="left" vertical="top"/>
    </xf>
    <xf numFmtId="0" fontId="24" fillId="27" borderId="0" xfId="0" applyFont="1" applyFill="1" applyBorder="1" applyAlignment="1">
      <alignment horizontal="left" vertical="top"/>
    </xf>
    <xf numFmtId="0" fontId="38" fillId="34" borderId="0" xfId="0" applyFont="1" applyFill="1" applyAlignment="1">
      <alignment horizontal="left" vertical="top"/>
    </xf>
    <xf numFmtId="0" fontId="38" fillId="34" borderId="0" xfId="0" applyFont="1" applyFill="1" applyBorder="1" applyAlignment="1">
      <alignment horizontal="left" vertical="top"/>
    </xf>
    <xf numFmtId="0" fontId="24" fillId="35" borderId="39" xfId="0" applyFont="1" applyFill="1" applyBorder="1" applyAlignment="1">
      <alignment horizontal="left" vertical="top"/>
    </xf>
    <xf numFmtId="0" fontId="24" fillId="35" borderId="0" xfId="0" applyFont="1" applyFill="1" applyAlignment="1">
      <alignment horizontal="left" vertical="top"/>
    </xf>
    <xf numFmtId="0" fontId="24" fillId="36" borderId="0" xfId="0" applyFont="1" applyFill="1" applyBorder="1" applyAlignment="1">
      <alignment horizontal="left" vertical="top"/>
    </xf>
    <xf numFmtId="0" fontId="24" fillId="36" borderId="0" xfId="0" applyFont="1" applyFill="1" applyAlignment="1">
      <alignment horizontal="left" vertical="top"/>
    </xf>
    <xf numFmtId="0" fontId="24" fillId="37" borderId="0" xfId="0" applyFont="1" applyFill="1" applyAlignment="1">
      <alignment horizontal="left" vertical="top"/>
    </xf>
    <xf numFmtId="0" fontId="24" fillId="37" borderId="0" xfId="0" applyFont="1" applyFill="1" applyBorder="1" applyAlignment="1">
      <alignment horizontal="left" vertical="top"/>
    </xf>
    <xf numFmtId="0" fontId="46" fillId="0" borderId="0" xfId="0" applyFont="1" applyAlignment="1">
      <alignment horizontal="left" vertical="top"/>
    </xf>
    <xf numFmtId="0" fontId="46" fillId="0" borderId="37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0" borderId="37" xfId="0" applyFont="1" applyBorder="1" applyAlignment="1">
      <alignment horizontal="left" vertical="top"/>
    </xf>
    <xf numFmtId="0" fontId="48" fillId="0" borderId="37" xfId="0" applyFont="1" applyBorder="1" applyAlignment="1">
      <alignment horizontal="left" vertical="top"/>
    </xf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0" fontId="49" fillId="0" borderId="37" xfId="0" applyFont="1" applyBorder="1" applyAlignment="1">
      <alignment horizontal="left" vertical="top"/>
    </xf>
    <xf numFmtId="0" fontId="50" fillId="0" borderId="0" xfId="0" applyFont="1" applyAlignment="1">
      <alignment horizontal="left" vertical="top"/>
    </xf>
    <xf numFmtId="0" fontId="50" fillId="0" borderId="37" xfId="0" applyFont="1" applyBorder="1" applyAlignment="1">
      <alignment horizontal="left" vertical="top"/>
    </xf>
    <xf numFmtId="0" fontId="44" fillId="0" borderId="40" xfId="0" applyFont="1" applyBorder="1" applyAlignment="1">
      <alignment horizontal="left" vertical="top"/>
    </xf>
    <xf numFmtId="49" fontId="52" fillId="0" borderId="45" xfId="0" applyNumberFormat="1" applyFont="1" applyBorder="1" applyAlignment="1">
      <alignment horizontal="center" vertical="top"/>
    </xf>
    <xf numFmtId="49" fontId="52" fillId="0" borderId="46" xfId="0" applyNumberFormat="1" applyFont="1" applyBorder="1" applyAlignment="1">
      <alignment horizontal="center" vertical="top"/>
    </xf>
    <xf numFmtId="49" fontId="53" fillId="0" borderId="36" xfId="0" applyNumberFormat="1" applyFont="1" applyBorder="1" applyAlignment="1">
      <alignment horizontal="center" vertical="top"/>
    </xf>
    <xf numFmtId="49" fontId="53" fillId="0" borderId="37" xfId="0" applyNumberFormat="1" applyFont="1" applyBorder="1" applyAlignment="1">
      <alignment horizontal="center" vertical="top" wrapText="1"/>
    </xf>
    <xf numFmtId="0" fontId="0" fillId="0" borderId="36" xfId="0" applyBorder="1"/>
    <xf numFmtId="0" fontId="0" fillId="0" borderId="38" xfId="0" applyBorder="1"/>
    <xf numFmtId="49" fontId="53" fillId="0" borderId="0" xfId="0" applyNumberFormat="1" applyFont="1" applyBorder="1" applyAlignment="1">
      <alignment horizontal="center" vertical="top" wrapText="1"/>
    </xf>
    <xf numFmtId="49" fontId="53" fillId="0" borderId="0" xfId="0" applyNumberFormat="1" applyFont="1" applyBorder="1" applyAlignment="1">
      <alignment horizontal="center" vertical="top"/>
    </xf>
    <xf numFmtId="49" fontId="53" fillId="0" borderId="33" xfId="0" applyNumberFormat="1" applyFont="1" applyBorder="1" applyAlignment="1">
      <alignment horizontal="center" vertical="top"/>
    </xf>
    <xf numFmtId="49" fontId="53" fillId="0" borderId="34" xfId="0" applyNumberFormat="1" applyFont="1" applyBorder="1" applyAlignment="1">
      <alignment horizontal="center" vertical="top" wrapText="1"/>
    </xf>
    <xf numFmtId="49" fontId="53" fillId="0" borderId="39" xfId="0" applyNumberFormat="1" applyFont="1" applyBorder="1" applyAlignment="1">
      <alignment horizontal="center" vertical="top" wrapText="1"/>
    </xf>
    <xf numFmtId="49" fontId="53" fillId="0" borderId="40" xfId="0" applyNumberFormat="1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24" fillId="31" borderId="39" xfId="0" applyFont="1" applyFill="1" applyBorder="1" applyAlignment="1">
      <alignment horizontal="left" vertical="top"/>
    </xf>
    <xf numFmtId="49" fontId="54" fillId="0" borderId="37" xfId="0" applyNumberFormat="1" applyFont="1" applyBorder="1" applyAlignment="1">
      <alignment horizontal="center"/>
    </xf>
    <xf numFmtId="2" fontId="24" fillId="0" borderId="0" xfId="0" applyNumberFormat="1" applyFont="1" applyBorder="1" applyAlignment="1">
      <alignment horizontal="left" vertical="top"/>
    </xf>
    <xf numFmtId="2" fontId="24" fillId="0" borderId="0" xfId="0" applyNumberFormat="1" applyFont="1" applyAlignment="1">
      <alignment horizontal="left" vertical="top"/>
    </xf>
    <xf numFmtId="2" fontId="24" fillId="0" borderId="0" xfId="0" applyNumberFormat="1" applyFont="1"/>
    <xf numFmtId="49" fontId="34" fillId="0" borderId="0" xfId="46" applyNumberFormat="1" applyBorder="1" applyAlignment="1">
      <alignment horizontal="center" vertical="top" wrapText="1"/>
    </xf>
    <xf numFmtId="49" fontId="34" fillId="0" borderId="0" xfId="46" applyNumberFormat="1" applyBorder="1" applyAlignment="1">
      <alignment horizontal="center"/>
    </xf>
    <xf numFmtId="49" fontId="34" fillId="0" borderId="39" xfId="46" applyNumberFormat="1" applyBorder="1" applyAlignment="1">
      <alignment horizontal="center" vertical="top" wrapText="1"/>
    </xf>
    <xf numFmtId="0" fontId="24" fillId="0" borderId="0" xfId="0" applyFont="1" applyAlignment="1">
      <alignment horizontal="left"/>
    </xf>
    <xf numFmtId="0" fontId="34" fillId="0" borderId="0" xfId="46" applyAlignment="1">
      <alignment horizontal="left" vertical="top"/>
    </xf>
    <xf numFmtId="0" fontId="30" fillId="0" borderId="0" xfId="0" applyFont="1" applyAlignment="1">
      <alignment horizontal="left" vertical="top"/>
    </xf>
    <xf numFmtId="0" fontId="24" fillId="0" borderId="0" xfId="0" applyFont="1" applyAlignment="1">
      <alignment horizontal="center" vertical="center"/>
    </xf>
    <xf numFmtId="0" fontId="24" fillId="0" borderId="0" xfId="0" quotePrefix="1" applyFont="1"/>
    <xf numFmtId="0" fontId="23" fillId="0" borderId="0" xfId="35" applyFont="1" applyAlignment="1">
      <alignment vertical="center"/>
    </xf>
    <xf numFmtId="0" fontId="24" fillId="24" borderId="0" xfId="0" applyFont="1" applyFill="1" applyAlignment="1">
      <alignment horizontal="left" vertical="top"/>
    </xf>
    <xf numFmtId="0" fontId="24" fillId="25" borderId="0" xfId="0" applyFont="1" applyFill="1" applyAlignment="1">
      <alignment horizontal="left" vertical="top"/>
    </xf>
    <xf numFmtId="0" fontId="24" fillId="28" borderId="0" xfId="0" applyFont="1" applyFill="1" applyAlignment="1">
      <alignment horizontal="left" vertical="top"/>
    </xf>
    <xf numFmtId="0" fontId="24" fillId="29" borderId="0" xfId="0" applyFont="1" applyFill="1" applyAlignment="1">
      <alignment horizontal="left" vertical="top"/>
    </xf>
    <xf numFmtId="0" fontId="24" fillId="30" borderId="0" xfId="0" applyFont="1" applyFill="1" applyAlignment="1">
      <alignment horizontal="left" vertical="top"/>
    </xf>
    <xf numFmtId="0" fontId="24" fillId="33" borderId="0" xfId="0" applyFont="1" applyFill="1" applyAlignment="1">
      <alignment horizontal="left" vertical="top"/>
    </xf>
    <xf numFmtId="44" fontId="24" fillId="0" borderId="0" xfId="0" applyNumberFormat="1" applyFont="1" applyAlignment="1">
      <alignment horizontal="left"/>
    </xf>
    <xf numFmtId="44" fontId="24" fillId="0" borderId="0" xfId="0" applyNumberFormat="1" applyFont="1"/>
    <xf numFmtId="16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Alignment="1">
      <alignment horizontal="left" vertical="top"/>
    </xf>
    <xf numFmtId="0" fontId="30" fillId="0" borderId="0" xfId="0" applyFont="1" applyBorder="1" applyAlignment="1">
      <alignment horizontal="left" vertical="top"/>
    </xf>
    <xf numFmtId="0" fontId="43" fillId="0" borderId="0" xfId="46" applyFont="1" applyFill="1"/>
    <xf numFmtId="0" fontId="23" fillId="0" borderId="21" xfId="35" applyFont="1" applyBorder="1"/>
    <xf numFmtId="0" fontId="38" fillId="26" borderId="15" xfId="35" applyFont="1" applyFill="1" applyBorder="1"/>
    <xf numFmtId="0" fontId="0" fillId="0" borderId="11" xfId="0" applyBorder="1"/>
    <xf numFmtId="0" fontId="14" fillId="0" borderId="11" xfId="35" applyBorder="1"/>
    <xf numFmtId="2" fontId="14" fillId="0" borderId="11" xfId="35" applyNumberFormat="1" applyBorder="1"/>
    <xf numFmtId="2" fontId="23" fillId="0" borderId="10" xfId="35" applyNumberFormat="1" applyFont="1" applyBorder="1"/>
    <xf numFmtId="2" fontId="30" fillId="0" borderId="0" xfId="35" applyNumberFormat="1" applyFont="1" applyAlignment="1">
      <alignment horizontal="center"/>
    </xf>
    <xf numFmtId="0" fontId="14" fillId="0" borderId="0" xfId="35" applyAlignment="1">
      <alignment horizontal="center"/>
    </xf>
    <xf numFmtId="2" fontId="14" fillId="0" borderId="0" xfId="35" applyNumberFormat="1" applyAlignment="1">
      <alignment horizontal="right"/>
    </xf>
    <xf numFmtId="2" fontId="30" fillId="0" borderId="0" xfId="0" applyNumberFormat="1" applyFont="1"/>
    <xf numFmtId="49" fontId="54" fillId="0" borderId="0" xfId="0" applyNumberFormat="1" applyFont="1" applyBorder="1" applyAlignment="1">
      <alignment horizontal="center" vertical="top" wrapText="1"/>
    </xf>
    <xf numFmtId="49" fontId="51" fillId="0" borderId="35" xfId="0" applyNumberFormat="1" applyFont="1" applyBorder="1" applyAlignment="1">
      <alignment horizontal="center" vertical="top" wrapText="1"/>
    </xf>
    <xf numFmtId="49" fontId="51" fillId="0" borderId="37" xfId="0" applyNumberFormat="1" applyFont="1" applyBorder="1" applyAlignment="1">
      <alignment horizontal="center" vertical="top" wrapText="1"/>
    </xf>
    <xf numFmtId="49" fontId="51" fillId="0" borderId="37" xfId="0" applyNumberFormat="1" applyFont="1" applyBorder="1" applyAlignment="1">
      <alignment horizontal="center"/>
    </xf>
    <xf numFmtId="164" fontId="24" fillId="0" borderId="21" xfId="0" applyNumberFormat="1" applyFont="1" applyBorder="1" applyAlignment="1">
      <alignment horizontal="left"/>
    </xf>
    <xf numFmtId="0" fontId="55" fillId="0" borderId="37" xfId="0" applyFont="1" applyFill="1" applyBorder="1" applyAlignment="1">
      <alignment horizontal="center" vertical="center"/>
    </xf>
    <xf numFmtId="49" fontId="43" fillId="0" borderId="34" xfId="46" applyNumberFormat="1" applyFont="1" applyBorder="1" applyAlignment="1">
      <alignment horizontal="center" vertical="top" wrapText="1"/>
    </xf>
    <xf numFmtId="49" fontId="43" fillId="0" borderId="0" xfId="46" applyNumberFormat="1" applyFont="1" applyBorder="1" applyAlignment="1">
      <alignment horizontal="center" vertical="top" wrapText="1"/>
    </xf>
    <xf numFmtId="49" fontId="43" fillId="0" borderId="0" xfId="46" applyNumberFormat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4" fillId="0" borderId="0" xfId="35" applyFont="1" applyBorder="1"/>
    <xf numFmtId="0" fontId="45" fillId="0" borderId="0" xfId="35" applyFont="1" applyBorder="1"/>
    <xf numFmtId="0" fontId="24" fillId="0" borderId="0" xfId="0" applyFont="1" applyAlignment="1">
      <alignment vertical="center"/>
    </xf>
    <xf numFmtId="0" fontId="30" fillId="0" borderId="0" xfId="0" applyFont="1" applyAlignment="1">
      <alignment vertical="top"/>
    </xf>
    <xf numFmtId="0" fontId="0" fillId="0" borderId="0" xfId="0" applyAlignment="1">
      <alignment vertical="top"/>
    </xf>
    <xf numFmtId="0" fontId="34" fillId="0" borderId="0" xfId="46" applyAlignment="1">
      <alignment vertical="top" wrapText="1"/>
    </xf>
    <xf numFmtId="0" fontId="24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44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30" fillId="0" borderId="0" xfId="46" applyFont="1" applyAlignment="1">
      <alignment vertical="top" wrapText="1"/>
    </xf>
    <xf numFmtId="0" fontId="0" fillId="0" borderId="0" xfId="0" applyAlignment="1">
      <alignment vertical="top" wrapText="1"/>
    </xf>
    <xf numFmtId="0" fontId="24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24" fillId="0" borderId="0" xfId="0" quotePrefix="1" applyFont="1" applyAlignment="1">
      <alignment vertical="top" wrapText="1"/>
    </xf>
    <xf numFmtId="0" fontId="40" fillId="26" borderId="15" xfId="21" applyFont="1" applyFill="1" applyBorder="1" applyAlignment="1">
      <alignment vertical="center"/>
    </xf>
    <xf numFmtId="0" fontId="40" fillId="26" borderId="15" xfId="21" applyFont="1" applyFill="1" applyBorder="1"/>
    <xf numFmtId="2" fontId="40" fillId="26" borderId="15" xfId="21" applyNumberFormat="1" applyFont="1" applyFill="1" applyBorder="1"/>
    <xf numFmtId="0" fontId="24" fillId="0" borderId="47" xfId="0" quotePrefix="1" applyFont="1" applyBorder="1" applyAlignment="1">
      <alignment vertical="center"/>
    </xf>
    <xf numFmtId="0" fontId="0" fillId="0" borderId="42" xfId="0" applyBorder="1"/>
    <xf numFmtId="0" fontId="14" fillId="0" borderId="42" xfId="35" applyBorder="1"/>
    <xf numFmtId="2" fontId="14" fillId="0" borderId="42" xfId="35" applyNumberFormat="1" applyBorder="1"/>
    <xf numFmtId="2" fontId="14" fillId="0" borderId="43" xfId="35" applyNumberFormat="1" applyBorder="1"/>
    <xf numFmtId="0" fontId="24" fillId="0" borderId="48" xfId="0" quotePrefix="1" applyFont="1" applyBorder="1" applyAlignment="1">
      <alignment vertical="center"/>
    </xf>
    <xf numFmtId="2" fontId="14" fillId="0" borderId="49" xfId="35" applyNumberFormat="1" applyBorder="1"/>
    <xf numFmtId="2" fontId="14" fillId="0" borderId="50" xfId="35" applyNumberFormat="1" applyBorder="1"/>
    <xf numFmtId="0" fontId="24" fillId="0" borderId="51" xfId="0" quotePrefix="1" applyFont="1" applyBorder="1" applyAlignment="1">
      <alignment vertical="center"/>
    </xf>
    <xf numFmtId="0" fontId="0" fillId="0" borderId="45" xfId="0" applyBorder="1"/>
    <xf numFmtId="0" fontId="14" fillId="0" borderId="45" xfId="35" applyBorder="1"/>
    <xf numFmtId="2" fontId="14" fillId="0" borderId="45" xfId="35" applyNumberFormat="1" applyBorder="1"/>
    <xf numFmtId="2" fontId="14" fillId="0" borderId="46" xfId="35" applyNumberFormat="1" applyBorder="1"/>
    <xf numFmtId="2" fontId="0" fillId="0" borderId="50" xfId="0" applyNumberFormat="1" applyBorder="1"/>
    <xf numFmtId="0" fontId="24" fillId="0" borderId="48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0" fillId="0" borderId="52" xfId="0" applyBorder="1"/>
    <xf numFmtId="0" fontId="45" fillId="0" borderId="0" xfId="35" applyFont="1" applyBorder="1" applyAlignment="1"/>
    <xf numFmtId="2" fontId="56" fillId="0" borderId="10" xfId="35" applyNumberFormat="1" applyFont="1" applyBorder="1"/>
    <xf numFmtId="2" fontId="14" fillId="0" borderId="54" xfId="35" applyNumberFormat="1" applyBorder="1"/>
    <xf numFmtId="0" fontId="24" fillId="0" borderId="53" xfId="0" applyFont="1" applyBorder="1" applyAlignment="1">
      <alignment vertical="center"/>
    </xf>
    <xf numFmtId="0" fontId="40" fillId="26" borderId="15" xfId="21" applyFont="1" applyFill="1" applyBorder="1" applyAlignment="1">
      <alignment horizontal="left"/>
    </xf>
    <xf numFmtId="0" fontId="24" fillId="0" borderId="42" xfId="0" quotePrefix="1" applyFont="1" applyBorder="1" applyAlignment="1">
      <alignment horizontal="left"/>
    </xf>
    <xf numFmtId="0" fontId="24" fillId="0" borderId="10" xfId="0" quotePrefix="1" applyFont="1" applyBorder="1" applyAlignment="1">
      <alignment horizontal="left"/>
    </xf>
    <xf numFmtId="0" fontId="14" fillId="0" borderId="10" xfId="35" applyBorder="1" applyAlignment="1">
      <alignment horizontal="left" vertical="center"/>
    </xf>
    <xf numFmtId="0" fontId="14" fillId="0" borderId="42" xfId="35" applyBorder="1" applyAlignment="1">
      <alignment horizontal="left" vertical="center"/>
    </xf>
    <xf numFmtId="0" fontId="24" fillId="0" borderId="45" xfId="0" quotePrefix="1" applyFont="1" applyBorder="1" applyAlignment="1">
      <alignment horizontal="left"/>
    </xf>
    <xf numFmtId="0" fontId="14" fillId="0" borderId="10" xfId="35" applyBorder="1" applyAlignment="1">
      <alignment horizontal="left"/>
    </xf>
    <xf numFmtId="0" fontId="14" fillId="0" borderId="45" xfId="35" applyBorder="1" applyAlignment="1">
      <alignment horizontal="left"/>
    </xf>
    <xf numFmtId="0" fontId="14" fillId="0" borderId="15" xfId="35" applyBorder="1" applyAlignment="1">
      <alignment horizontal="left"/>
    </xf>
    <xf numFmtId="0" fontId="24" fillId="0" borderId="45" xfId="0" applyFont="1" applyBorder="1" applyAlignment="1">
      <alignment horizontal="left" wrapText="1"/>
    </xf>
    <xf numFmtId="0" fontId="0" fillId="0" borderId="0" xfId="0" applyAlignment="1">
      <alignment horizontal="left"/>
    </xf>
    <xf numFmtId="2" fontId="56" fillId="27" borderId="10" xfId="35" applyNumberFormat="1" applyFont="1" applyFill="1" applyBorder="1"/>
    <xf numFmtId="0" fontId="34" fillId="0" borderId="0" xfId="46" applyAlignment="1">
      <alignment horizontal="center" vertical="top" wrapText="1"/>
    </xf>
    <xf numFmtId="0" fontId="24" fillId="0" borderId="53" xfId="0" quotePrefix="1" applyFont="1" applyBorder="1" applyAlignment="1">
      <alignment vertical="center"/>
    </xf>
    <xf numFmtId="2" fontId="0" fillId="0" borderId="0" xfId="0" applyNumberFormat="1" applyBorder="1"/>
    <xf numFmtId="2" fontId="56" fillId="27" borderId="0" xfId="35" applyNumberFormat="1" applyFont="1" applyFill="1" applyBorder="1"/>
    <xf numFmtId="10" fontId="22" fillId="0" borderId="0" xfId="35" applyNumberFormat="1" applyFont="1" applyBorder="1"/>
    <xf numFmtId="10" fontId="14" fillId="0" borderId="0" xfId="35" applyNumberFormat="1" applyBorder="1"/>
    <xf numFmtId="0" fontId="14" fillId="0" borderId="15" xfId="35" applyBorder="1" applyAlignment="1">
      <alignment horizontal="left" vertical="center"/>
    </xf>
    <xf numFmtId="0" fontId="24" fillId="0" borderId="55" xfId="0" quotePrefix="1" applyFont="1" applyBorder="1" applyAlignment="1">
      <alignment vertical="center"/>
    </xf>
    <xf numFmtId="2" fontId="14" fillId="0" borderId="56" xfId="35" applyNumberFormat="1" applyBorder="1"/>
    <xf numFmtId="2" fontId="14" fillId="0" borderId="10" xfId="35" applyNumberFormat="1" applyFill="1" applyBorder="1"/>
    <xf numFmtId="0" fontId="14" fillId="0" borderId="19" xfId="35" applyBorder="1"/>
    <xf numFmtId="0" fontId="24" fillId="0" borderId="42" xfId="0" quotePrefix="1" applyFont="1" applyBorder="1"/>
    <xf numFmtId="2" fontId="14" fillId="0" borderId="49" xfId="35" applyNumberFormat="1" applyFill="1" applyBorder="1"/>
    <xf numFmtId="0" fontId="14" fillId="0" borderId="45" xfId="35" applyFont="1" applyBorder="1" applyAlignment="1">
      <alignment vertical="center"/>
    </xf>
    <xf numFmtId="2" fontId="14" fillId="0" borderId="52" xfId="35" applyNumberFormat="1" applyFill="1" applyBorder="1"/>
    <xf numFmtId="2" fontId="14" fillId="0" borderId="57" xfId="35" applyNumberFormat="1" applyFill="1" applyBorder="1"/>
    <xf numFmtId="0" fontId="0" fillId="0" borderId="46" xfId="0" applyBorder="1"/>
    <xf numFmtId="0" fontId="0" fillId="0" borderId="19" xfId="0" applyBorder="1" applyAlignment="1">
      <alignment vertical="center"/>
    </xf>
    <xf numFmtId="0" fontId="14" fillId="0" borderId="43" xfId="35" applyBorder="1"/>
    <xf numFmtId="0" fontId="14" fillId="0" borderId="50" xfId="35" applyBorder="1"/>
    <xf numFmtId="0" fontId="14" fillId="0" borderId="46" xfId="35" applyBorder="1"/>
    <xf numFmtId="0" fontId="4" fillId="14" borderId="12" xfId="21" applyBorder="1" applyAlignment="1">
      <alignment horizontal="center"/>
    </xf>
    <xf numFmtId="0" fontId="4" fillId="14" borderId="13" xfId="21" applyBorder="1" applyAlignment="1">
      <alignment horizontal="center"/>
    </xf>
    <xf numFmtId="0" fontId="4" fillId="14" borderId="14" xfId="2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25" xfId="35" applyFont="1" applyFill="1" applyBorder="1" applyAlignment="1">
      <alignment horizontal="center"/>
    </xf>
    <xf numFmtId="0" fontId="23" fillId="0" borderId="0" xfId="35" applyFont="1" applyFill="1" applyBorder="1" applyAlignment="1">
      <alignment horizontal="center"/>
    </xf>
    <xf numFmtId="0" fontId="40" fillId="26" borderId="12" xfId="21" applyFont="1" applyFill="1" applyBorder="1" applyAlignment="1">
      <alignment horizontal="center"/>
    </xf>
    <xf numFmtId="0" fontId="40" fillId="26" borderId="13" xfId="21" applyFont="1" applyFill="1" applyBorder="1" applyAlignment="1">
      <alignment horizontal="center"/>
    </xf>
    <xf numFmtId="0" fontId="40" fillId="26" borderId="14" xfId="21" applyFont="1" applyFill="1" applyBorder="1" applyAlignment="1">
      <alignment horizontal="center"/>
    </xf>
    <xf numFmtId="9" fontId="4" fillId="16" borderId="7" xfId="23" applyNumberFormat="1" applyBorder="1" applyAlignment="1">
      <alignment horizontal="center" vertical="center" wrapText="1"/>
    </xf>
    <xf numFmtId="9" fontId="4" fillId="16" borderId="0" xfId="23" applyNumberFormat="1" applyBorder="1" applyAlignment="1">
      <alignment horizontal="center" vertical="center" wrapText="1"/>
    </xf>
    <xf numFmtId="0" fontId="4" fillId="16" borderId="0" xfId="23" applyAlignment="1">
      <alignment horizont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9" fontId="54" fillId="0" borderId="0" xfId="0" applyNumberFormat="1" applyFont="1" applyBorder="1" applyAlignment="1">
      <alignment horizontal="center" vertical="top" wrapText="1"/>
    </xf>
    <xf numFmtId="49" fontId="54" fillId="0" borderId="37" xfId="0" applyNumberFormat="1" applyFont="1" applyBorder="1" applyAlignment="1">
      <alignment horizontal="center" vertical="top" wrapText="1"/>
    </xf>
    <xf numFmtId="0" fontId="30" fillId="0" borderId="0" xfId="0" applyFont="1" applyAlignment="1">
      <alignment horizontal="center" wrapText="1"/>
    </xf>
    <xf numFmtId="49" fontId="51" fillId="35" borderId="41" xfId="0" applyNumberFormat="1" applyFont="1" applyFill="1" applyBorder="1" applyAlignment="1">
      <alignment horizontal="center" vertical="center"/>
    </xf>
    <xf numFmtId="49" fontId="51" fillId="35" borderId="44" xfId="0" applyNumberFormat="1" applyFont="1" applyFill="1" applyBorder="1" applyAlignment="1">
      <alignment horizontal="center" vertical="center"/>
    </xf>
    <xf numFmtId="49" fontId="51" fillId="35" borderId="42" xfId="0" applyNumberFormat="1" applyFont="1" applyFill="1" applyBorder="1" applyAlignment="1">
      <alignment horizontal="center"/>
    </xf>
    <xf numFmtId="49" fontId="51" fillId="35" borderId="43" xfId="0" applyNumberFormat="1" applyFont="1" applyFill="1" applyBorder="1" applyAlignment="1">
      <alignment horizontal="center"/>
    </xf>
    <xf numFmtId="49" fontId="51" fillId="0" borderId="0" xfId="0" applyNumberFormat="1" applyFont="1" applyBorder="1" applyAlignment="1">
      <alignment horizontal="right" vertical="center" wrapText="1"/>
    </xf>
    <xf numFmtId="49" fontId="51" fillId="0" borderId="37" xfId="0" applyNumberFormat="1" applyFont="1" applyBorder="1" applyAlignment="1">
      <alignment horizontal="right" vertical="center" wrapText="1"/>
    </xf>
    <xf numFmtId="0" fontId="14" fillId="18" borderId="25" xfId="35" applyFill="1" applyBorder="1" applyAlignment="1">
      <alignment horizontal="center"/>
    </xf>
    <xf numFmtId="0" fontId="14" fillId="18" borderId="0" xfId="35" applyFill="1" applyBorder="1" applyAlignment="1">
      <alignment horizontal="center"/>
    </xf>
  </cellXfs>
  <cellStyles count="47">
    <cellStyle name="20% - akcent 1" xfId="1"/>
    <cellStyle name="20% - akcent 2" xfId="2"/>
    <cellStyle name="20% - akcent 3" xfId="3"/>
    <cellStyle name="20% - akcent 4" xfId="4"/>
    <cellStyle name="20% - akcent 5" xfId="5"/>
    <cellStyle name="20% - akcent 6" xfId="6"/>
    <cellStyle name="40% - akcent 1" xfId="7"/>
    <cellStyle name="40% - akcent 2" xfId="8"/>
    <cellStyle name="40% — akcent 2" xfId="45" builtinId="35"/>
    <cellStyle name="40% - akcent 3" xfId="9"/>
    <cellStyle name="40% - akcent 4" xfId="10"/>
    <cellStyle name="40% - akcent 5" xfId="11"/>
    <cellStyle name="40% - akcent 6" xfId="12"/>
    <cellStyle name="40% — akcent 6" xfId="44" builtinId="51"/>
    <cellStyle name="60% - akcent 1" xfId="13"/>
    <cellStyle name="60% - akcent 2" xfId="14"/>
    <cellStyle name="60% - akcent 3" xfId="15"/>
    <cellStyle name="60% - akcent 4" xfId="16"/>
    <cellStyle name="60% - akcent 5" xfId="17"/>
    <cellStyle name="60% - akcent 6" xfId="18"/>
    <cellStyle name="Akcent 1" xfId="19"/>
    <cellStyle name="Akcent 2" xfId="20"/>
    <cellStyle name="Akcent 3" xfId="21"/>
    <cellStyle name="Akcent 4" xfId="22"/>
    <cellStyle name="Akcent 5" xfId="23"/>
    <cellStyle name="Akcent 6" xfId="24"/>
    <cellStyle name="Dane wejściowe" xfId="25"/>
    <cellStyle name="Dane wyjściowe" xfId="26"/>
    <cellStyle name="Dobre" xfId="27"/>
    <cellStyle name="Dobry" xfId="43" builtinId="26"/>
    <cellStyle name="Hiperłącze" xfId="46" builtinId="8"/>
    <cellStyle name="Komórka połączona" xfId="28"/>
    <cellStyle name="Komórka zaznaczona" xfId="29"/>
    <cellStyle name="Nagłówek 1" xfId="30"/>
    <cellStyle name="Nagłówek 2" xfId="31"/>
    <cellStyle name="Nagłówek 3" xfId="32"/>
    <cellStyle name="Nagłówek 4" xfId="33"/>
    <cellStyle name="Neutralne" xfId="34"/>
    <cellStyle name="Normalny" xfId="0" builtinId="0"/>
    <cellStyle name="Normalny_Arkusz1" xfId="35"/>
    <cellStyle name="Obliczenia" xfId="36"/>
    <cellStyle name="Suma" xfId="37"/>
    <cellStyle name="Tekst objaśnienia" xfId="38"/>
    <cellStyle name="Tekst ostrzeżenia" xfId="39"/>
    <cellStyle name="Tytuł" xfId="40"/>
    <cellStyle name="Uwaga" xfId="41"/>
    <cellStyle name="Złe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2b.harting.com/ebusiness/pl/M12-Crimp-Slim-Design-4pol-D-coded-male/21038811405" TargetMode="External"/><Relationship Id="rId13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506" TargetMode="External"/><Relationship Id="rId18" Type="http://schemas.openxmlformats.org/officeDocument/2006/relationships/hyperlink" Target="https://lapppoland.lappgroup.com/produkty/katalog/systemy-transmisji-danych/przewody-do-transmisji-danych-o-niskiej-czestotliwosci/kod-kolorow-din/unitronic-liycy-tp.html?tx_dgpsolr%5bq%5d=0035814" TargetMode="External"/><Relationship Id="rId3" Type="http://schemas.openxmlformats.org/officeDocument/2006/relationships/hyperlink" Target="https://b2b.harting.com/ebusiness/pl/D-SUB-25-bieg-wk%C5%82ad-m%C4%99s-do-styk-zacisk/09670255601" TargetMode="External"/><Relationship Id="rId7" Type="http://schemas.openxmlformats.org/officeDocument/2006/relationships/hyperlink" Target="https://b2b.harting.com/ebusiness/pl/D-SUB-FE-turned-contact-AWG-22-26-PL1/09670005476" TargetMode="External"/><Relationship Id="rId12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902" TargetMode="External"/><Relationship Id="rId17" Type="http://schemas.openxmlformats.org/officeDocument/2006/relationships/hyperlink" Target="https://lapppoland.lappgroup.com/produkty/katalog/systemy-transmisji-danych-w-technologii-ethernet/profinet-cat5/typ-b-przewody-do-instalacji-ruchomych/etherline-pn-cat5-flex.html?tx_dgpsolr%5bq%5d=2170890" TargetMode="External"/><Relationship Id="rId2" Type="http://schemas.openxmlformats.org/officeDocument/2006/relationships/hyperlink" Target="https://b2b.harting.com/ebusiness/pl/D-SUB-9-bieg-wk%C5%82ad-m%C4%99s-do-styk-zacisk/09670095601" TargetMode="External"/><Relationship Id="rId16" Type="http://schemas.openxmlformats.org/officeDocument/2006/relationships/hyperlink" Target="https://lapppoland.lappgroup.com/produkty/katalog/systemy-transmisji-danych/przewody-do-transmisji-danych-o-niskiej-czestotliwosci/bezhalogenowe-unitronic/unitronic-lihch.html?tx_dgpsolr%5bq%5d=0037608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https://b2b.harting.com/ebusiness/pl/D-SUB-9-bieg-wej-proste-niklowana/09670090343" TargetMode="External"/><Relationship Id="rId6" Type="http://schemas.openxmlformats.org/officeDocument/2006/relationships/hyperlink" Target="https://b2b.harting.com/ebusiness/pl/PushPull-V4-plug-Signal-10-pol-Kunsts/09451459011" TargetMode="External"/><Relationship Id="rId11" Type="http://schemas.openxmlformats.org/officeDocument/2006/relationships/hyperlink" Target="https://www.tme.eu/pl/details/926895-1/zlacza-sygnalowe-raster-6-35mm/te-connectivity/" TargetMode="External"/><Relationship Id="rId5" Type="http://schemas.openxmlformats.org/officeDocument/2006/relationships/hyperlink" Target="https://b2b.harting.com/ebusiness/pl/D-SUB-HD-MA-CONTACT-24-26-AWG-PL3-500BOX/09560008177" TargetMode="External"/><Relationship Id="rId15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604" TargetMode="External"/><Relationship Id="rId10" Type="http://schemas.openxmlformats.org/officeDocument/2006/relationships/hyperlink" Target="https://www.tme.eu/pl/details/350777-1/zlacza-sygnalowe-raster-6-35mm/te-connectivity/" TargetMode="External"/><Relationship Id="rId19" Type="http://schemas.openxmlformats.org/officeDocument/2006/relationships/hyperlink" Target="https://b2b.harting.com/ebusiness/pl/HAR-PROFINET-Typ-A-4xAWG22-1-PVC-100m/09456000100" TargetMode="External"/><Relationship Id="rId4" Type="http://schemas.openxmlformats.org/officeDocument/2006/relationships/hyperlink" Target="https://b2b.harting.com/ebusiness/pl/D-SUB-15-bieg-m%C4%99ski-HD-zacisk/09561005601" TargetMode="External"/><Relationship Id="rId9" Type="http://schemas.openxmlformats.org/officeDocument/2006/relationships/hyperlink" Target="https://b2b.harting.com/ebusiness/pl/PushPull-V4-plug-RJ45-Cat-5/09451451106" TargetMode="External"/><Relationship Id="rId14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61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5" sqref="A5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4.85546875" bestFit="1" customWidth="1"/>
    <col min="5" max="5" width="15.7109375" customWidth="1"/>
    <col min="6" max="6" width="15.42578125" customWidth="1"/>
    <col min="7" max="7" width="7.140625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87</v>
      </c>
      <c r="B2" s="29" t="s">
        <v>41</v>
      </c>
      <c r="C2" s="18">
        <v>7</v>
      </c>
      <c r="D2" s="6">
        <v>40</v>
      </c>
      <c r="E2" s="7">
        <f t="shared" ref="E2:E20" si="0">C2*D2</f>
        <v>280</v>
      </c>
      <c r="F2" s="7">
        <f>E2*1.23</f>
        <v>344.4</v>
      </c>
      <c r="G2" s="7">
        <f>F2-E2</f>
        <v>64.399999999999977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5536.45</v>
      </c>
      <c r="Y2" s="3">
        <f>V12</f>
        <v>59540.39</v>
      </c>
      <c r="Z2" s="4">
        <f>(Y2-X2)*0.19</f>
        <v>10260.748600000001</v>
      </c>
    </row>
    <row r="3" spans="1:26">
      <c r="A3" t="s">
        <v>64</v>
      </c>
      <c r="B3" s="30" t="s">
        <v>63</v>
      </c>
      <c r="C3" s="21">
        <v>0.31</v>
      </c>
      <c r="D3" s="31">
        <v>750</v>
      </c>
      <c r="E3" s="32">
        <f t="shared" si="0"/>
        <v>232.5</v>
      </c>
      <c r="F3" s="32">
        <f>E3*1.23</f>
        <v>285.97500000000002</v>
      </c>
      <c r="G3" s="32">
        <f>F3-E3</f>
        <v>53.475000000000023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20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53</v>
      </c>
      <c r="B4" s="29" t="s">
        <v>42</v>
      </c>
      <c r="C4" s="18">
        <v>23</v>
      </c>
      <c r="D4" s="6">
        <v>21</v>
      </c>
      <c r="E4" s="7">
        <f t="shared" si="0"/>
        <v>483</v>
      </c>
      <c r="F4" s="7">
        <f>E4*1.23</f>
        <v>594.09</v>
      </c>
      <c r="G4" s="7">
        <f>F4-E4</f>
        <v>111.09000000000003</v>
      </c>
      <c r="H4" s="3"/>
      <c r="I4" s="5" t="s">
        <v>99</v>
      </c>
      <c r="J4" s="6">
        <v>2.5</v>
      </c>
      <c r="K4" s="7">
        <f>SUM(C2,C3*18)</f>
        <v>12.58</v>
      </c>
      <c r="L4" s="7">
        <f>SUM(C5*2,C6*2,C7*2,C8*4,C10*2,C9,C11*2,C12*2)</f>
        <v>34.19</v>
      </c>
      <c r="M4" s="7">
        <f>SUM(C14*4*J4,C15*14*J4)</f>
        <v>11.392249999999999</v>
      </c>
      <c r="N4" s="7">
        <f>SUM(C13*2)</f>
        <v>3</v>
      </c>
      <c r="O4" s="7">
        <f>N30</f>
        <v>19.884499999999999</v>
      </c>
      <c r="P4" s="7">
        <f>N16</f>
        <v>240</v>
      </c>
      <c r="Q4" s="7">
        <f>SUM(K4:P4)</f>
        <v>321.04674999999997</v>
      </c>
      <c r="R4" s="7">
        <f>(S4*S15)</f>
        <v>969.78699999999992</v>
      </c>
      <c r="S4" s="9">
        <v>213.14</v>
      </c>
      <c r="T4" s="27">
        <f>(R4-Q4)/R4</f>
        <v>0.668951274867574</v>
      </c>
      <c r="U4" s="27">
        <f>((R4-Q4)/Q4)</f>
        <v>2.0207033710822491</v>
      </c>
      <c r="V4" s="7">
        <f>R4*$V$3</f>
        <v>19395.739999999998</v>
      </c>
      <c r="W4" s="8"/>
      <c r="X4" s="3">
        <f>L44</f>
        <v>6809.8334999999997</v>
      </c>
      <c r="Y4" s="3">
        <f>Y2*1.23</f>
        <v>73234.679699999993</v>
      </c>
      <c r="Z4" s="3">
        <f>Y4-Y2</f>
        <v>13694.289699999994</v>
      </c>
    </row>
    <row r="5" spans="1:26">
      <c r="A5" s="19" t="s">
        <v>52</v>
      </c>
      <c r="B5" s="18" t="s">
        <v>38</v>
      </c>
      <c r="C5" s="18">
        <v>0.14000000000000001</v>
      </c>
      <c r="D5" s="6">
        <v>150</v>
      </c>
      <c r="E5" s="7">
        <f t="shared" si="0"/>
        <v>21.000000000000004</v>
      </c>
      <c r="F5" s="7">
        <f t="shared" ref="F5:F20" si="1">E5*1.23</f>
        <v>25.830000000000005</v>
      </c>
      <c r="G5" s="7">
        <f t="shared" ref="G5:G20" si="2">F5-E5</f>
        <v>4.8300000000000018</v>
      </c>
      <c r="H5" s="3"/>
      <c r="I5" s="5" t="s">
        <v>40</v>
      </c>
      <c r="J5" s="6">
        <v>3.5</v>
      </c>
      <c r="K5" s="7">
        <f>C4</f>
        <v>23</v>
      </c>
      <c r="L5" s="6">
        <f>SUM((C5+C6+C7+C8+C8)*2,C9,C10)</f>
        <v>27.68</v>
      </c>
      <c r="M5" s="7">
        <f>SUM(C14*4*J5,C15*3*J5)</f>
        <v>6.302975</v>
      </c>
      <c r="N5" s="7">
        <f>C13*3.5</f>
        <v>5.25</v>
      </c>
      <c r="O5" s="7">
        <f>N30</f>
        <v>19.884499999999999</v>
      </c>
      <c r="P5" s="7">
        <f t="shared" ref="P5:P6" si="3">N17</f>
        <v>240</v>
      </c>
      <c r="Q5" s="7">
        <f>SUM(K5:P5)</f>
        <v>322.11747500000001</v>
      </c>
      <c r="R5" s="7">
        <f>(S5*S15)</f>
        <v>988.07799999999997</v>
      </c>
      <c r="S5" s="9">
        <v>217.16</v>
      </c>
      <c r="T5" s="27">
        <f>(R5-Q5)/R5</f>
        <v>0.67399590416950883</v>
      </c>
      <c r="U5" s="27">
        <f>((R5-Q5)/Q5)</f>
        <v>2.0674461234988879</v>
      </c>
      <c r="V5" s="7">
        <f>R5*$V$3</f>
        <v>19761.559999999998</v>
      </c>
      <c r="W5" s="8"/>
      <c r="X5" s="1" t="s">
        <v>11</v>
      </c>
      <c r="Y5" s="1" t="s">
        <v>12</v>
      </c>
      <c r="Z5" s="2" t="s">
        <v>32</v>
      </c>
    </row>
    <row r="6" spans="1:26">
      <c r="A6" s="29" t="s">
        <v>69</v>
      </c>
      <c r="B6" s="18" t="s">
        <v>45</v>
      </c>
      <c r="C6" s="18">
        <v>6.13</v>
      </c>
      <c r="D6" s="6">
        <v>142</v>
      </c>
      <c r="E6" s="7">
        <f t="shared" si="0"/>
        <v>870.46</v>
      </c>
      <c r="F6" s="7">
        <f t="shared" si="1"/>
        <v>1070.6658</v>
      </c>
      <c r="G6" s="7">
        <f t="shared" si="2"/>
        <v>200.20579999999995</v>
      </c>
      <c r="H6" s="3"/>
      <c r="I6" s="5" t="s">
        <v>39</v>
      </c>
      <c r="J6" s="6">
        <v>3.5</v>
      </c>
      <c r="K6" s="7">
        <f>SUM(C2,C3*18)</f>
        <v>12.58</v>
      </c>
      <c r="L6" s="7">
        <f>SUM((C5+C6+C7+C8+C8)*2,C9*2,C10*2,C11,C12)</f>
        <v>36.260000000000005</v>
      </c>
      <c r="M6" s="7">
        <f>SUM(C14*6*J6,C15*12*J6)</f>
        <v>16.031399999999998</v>
      </c>
      <c r="N6" s="7">
        <f>C13*3.5</f>
        <v>5.25</v>
      </c>
      <c r="O6" s="7">
        <f>N30</f>
        <v>19.884499999999999</v>
      </c>
      <c r="P6" s="7">
        <f t="shared" si="3"/>
        <v>240</v>
      </c>
      <c r="Q6" s="7">
        <f>SUM(K6:P6)</f>
        <v>330.0059</v>
      </c>
      <c r="R6" s="7">
        <f>(S6*S15)</f>
        <v>1019.1545</v>
      </c>
      <c r="S6" s="9">
        <v>223.99</v>
      </c>
      <c r="T6" s="27">
        <f>(R6-Q6)/R6</f>
        <v>0.67619639613032179</v>
      </c>
      <c r="U6" s="27">
        <f>((R6-Q6)/Q6)</f>
        <v>2.088291754783778</v>
      </c>
      <c r="V6" s="7">
        <f>R6*$V$3</f>
        <v>20383.09</v>
      </c>
      <c r="W6" s="8"/>
      <c r="X6" s="3">
        <f>M44</f>
        <v>1273.3834999999995</v>
      </c>
      <c r="Y6" s="3">
        <f>Z4</f>
        <v>13694.289699999994</v>
      </c>
      <c r="Z6" s="4">
        <f>Y6-X6</f>
        <v>12420.906199999994</v>
      </c>
    </row>
    <row r="7" spans="1:26">
      <c r="A7" s="19" t="s">
        <v>68</v>
      </c>
      <c r="B7" s="23" t="s">
        <v>43</v>
      </c>
      <c r="C7" s="18">
        <v>2.1</v>
      </c>
      <c r="D7" s="18">
        <v>142</v>
      </c>
      <c r="E7" s="7">
        <f t="shared" si="0"/>
        <v>298.2</v>
      </c>
      <c r="F7" s="7">
        <f t="shared" si="1"/>
        <v>366.786</v>
      </c>
      <c r="G7" s="7">
        <f t="shared" si="2"/>
        <v>68.586000000000013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 t="s">
        <v>34</v>
      </c>
      <c r="B8" s="23" t="s">
        <v>44</v>
      </c>
      <c r="C8" s="18">
        <v>0.96</v>
      </c>
      <c r="D8" s="18">
        <v>300</v>
      </c>
      <c r="E8" s="7">
        <f t="shared" si="0"/>
        <v>288</v>
      </c>
      <c r="F8" s="7">
        <f t="shared" si="1"/>
        <v>354.24</v>
      </c>
      <c r="G8" s="7">
        <f t="shared" si="2"/>
        <v>66.240000000000009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 t="s">
        <v>60</v>
      </c>
      <c r="B9" s="30" t="s">
        <v>54</v>
      </c>
      <c r="C9" s="18">
        <v>3.55</v>
      </c>
      <c r="D9" s="6">
        <v>105</v>
      </c>
      <c r="E9" s="7">
        <f t="shared" si="0"/>
        <v>372.75</v>
      </c>
      <c r="F9" s="7">
        <f t="shared" si="1"/>
        <v>458.48250000000002</v>
      </c>
      <c r="G9" s="7">
        <f t="shared" si="2"/>
        <v>85.732500000000016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66424.8462</v>
      </c>
      <c r="Z9" s="63">
        <f>Z2+Z6</f>
        <v>22681.654799999997</v>
      </c>
    </row>
    <row r="10" spans="1:26" ht="13.5" thickTop="1">
      <c r="A10" s="19" t="s">
        <v>61</v>
      </c>
      <c r="B10" s="30" t="s">
        <v>55</v>
      </c>
      <c r="C10" s="18">
        <v>3.55</v>
      </c>
      <c r="D10" s="6">
        <v>85</v>
      </c>
      <c r="E10" s="7">
        <f t="shared" si="0"/>
        <v>301.75</v>
      </c>
      <c r="F10" s="7">
        <f t="shared" si="1"/>
        <v>371.15249999999997</v>
      </c>
      <c r="G10" s="7">
        <f t="shared" si="2"/>
        <v>69.402499999999975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 t="s">
        <v>58</v>
      </c>
      <c r="B11" s="30" t="s">
        <v>56</v>
      </c>
      <c r="C11" s="18">
        <v>0.74</v>
      </c>
      <c r="D11" s="18">
        <v>65</v>
      </c>
      <c r="E11" s="7">
        <f t="shared" si="0"/>
        <v>48.1</v>
      </c>
      <c r="F11" s="7">
        <f t="shared" si="1"/>
        <v>59.163000000000004</v>
      </c>
      <c r="G11" s="7">
        <f t="shared" si="2"/>
        <v>11.063000000000002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1"/>
    </row>
    <row r="12" spans="1:26">
      <c r="A12" s="18" t="s">
        <v>59</v>
      </c>
      <c r="B12" s="30" t="s">
        <v>57</v>
      </c>
      <c r="C12" s="18">
        <v>0.74</v>
      </c>
      <c r="D12" s="18">
        <v>65</v>
      </c>
      <c r="E12" s="7">
        <f t="shared" si="0"/>
        <v>48.1</v>
      </c>
      <c r="F12" s="7">
        <f t="shared" si="1"/>
        <v>59.163000000000004</v>
      </c>
      <c r="G12" s="7">
        <f t="shared" si="2"/>
        <v>11.063000000000002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59540.39</v>
      </c>
      <c r="W12" s="1"/>
      <c r="X12" s="1"/>
      <c r="Y12" s="49">
        <f>Y9-Z9</f>
        <v>43743.191400000003</v>
      </c>
      <c r="Z12" s="1"/>
    </row>
    <row r="13" spans="1:26" ht="15.75" thickBot="1">
      <c r="A13" s="18">
        <v>12536</v>
      </c>
      <c r="B13" s="6" t="s">
        <v>51</v>
      </c>
      <c r="C13" s="6">
        <v>1.5</v>
      </c>
      <c r="D13" s="6">
        <v>200</v>
      </c>
      <c r="E13" s="7">
        <f t="shared" si="0"/>
        <v>300</v>
      </c>
      <c r="F13" s="7">
        <f t="shared" si="1"/>
        <v>369</v>
      </c>
      <c r="G13" s="7">
        <f t="shared" si="2"/>
        <v>69</v>
      </c>
      <c r="H13" s="1"/>
      <c r="P13" s="10"/>
      <c r="R13" s="26"/>
      <c r="S13" s="26"/>
      <c r="W13" s="1"/>
      <c r="X13" s="50" t="s">
        <v>95</v>
      </c>
      <c r="Y13" s="51">
        <f>Y12*0.05</f>
        <v>2187.1595700000003</v>
      </c>
      <c r="Z13" s="1"/>
    </row>
    <row r="14" spans="1:26">
      <c r="A14" s="18"/>
      <c r="B14" s="23" t="s">
        <v>66</v>
      </c>
      <c r="C14" s="23">
        <v>0.26229999999999998</v>
      </c>
      <c r="D14" s="6">
        <v>1100</v>
      </c>
      <c r="E14" s="7">
        <f t="shared" si="0"/>
        <v>288.52999999999997</v>
      </c>
      <c r="F14" s="7">
        <f t="shared" si="1"/>
        <v>354.89189999999996</v>
      </c>
      <c r="G14" s="7">
        <f t="shared" si="2"/>
        <v>66.361899999999991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 t="s">
        <v>67</v>
      </c>
      <c r="C15" s="23">
        <v>0.25054999999999999</v>
      </c>
      <c r="D15" s="18">
        <v>1500</v>
      </c>
      <c r="E15" s="7">
        <f t="shared" si="0"/>
        <v>375.82499999999999</v>
      </c>
      <c r="F15" s="7">
        <f t="shared" si="1"/>
        <v>462.26474999999999</v>
      </c>
      <c r="G15" s="7">
        <f t="shared" si="2"/>
        <v>86.439750000000004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18" t="s">
        <v>65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18" t="s">
        <v>49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4">J17*20</f>
        <v>288000</v>
      </c>
      <c r="N17" s="9">
        <f>L17*J17</f>
        <v>240</v>
      </c>
      <c r="O17" s="9">
        <f>M17*L17</f>
        <v>4800</v>
      </c>
      <c r="P17" s="68">
        <f t="shared" ref="P17:P18" si="5">J17/3600</f>
        <v>4</v>
      </c>
      <c r="Q17" s="68">
        <f t="shared" ref="Q17:Q18" si="6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9" t="s">
        <v>50</v>
      </c>
      <c r="J18" s="18">
        <v>14400</v>
      </c>
      <c r="K18" s="18">
        <v>60</v>
      </c>
      <c r="L18" s="9">
        <f>K18/3600</f>
        <v>1.6666666666666666E-2</v>
      </c>
      <c r="M18" s="18">
        <f t="shared" si="4"/>
        <v>288000</v>
      </c>
      <c r="N18" s="9">
        <f>L18*J18</f>
        <v>240</v>
      </c>
      <c r="O18" s="9">
        <f>M18*L18</f>
        <v>4800</v>
      </c>
      <c r="P18" s="68">
        <f t="shared" si="5"/>
        <v>4</v>
      </c>
      <c r="Q18" s="68">
        <f t="shared" si="6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4208.2149999999992</v>
      </c>
      <c r="F21" s="7">
        <f>SUM(F2:F20)</f>
        <v>5176.1044499999998</v>
      </c>
      <c r="G21" s="7">
        <f>SUM(G2:G20)</f>
        <v>967.88945000000001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3243.8599999999997</v>
      </c>
      <c r="K23" s="7">
        <f t="shared" ref="K23:K30" si="7">J23*1.23</f>
        <v>3989.9477999999995</v>
      </c>
      <c r="L23" s="7">
        <f t="shared" ref="L23:L30" si="8">K23-J23</f>
        <v>746.08779999999979</v>
      </c>
      <c r="M23" s="13"/>
      <c r="N23" s="13"/>
    </row>
    <row r="24" spans="1:26">
      <c r="D24" s="1"/>
      <c r="E24" s="1"/>
      <c r="F24" s="1"/>
      <c r="G24" s="1"/>
      <c r="H24" s="1"/>
      <c r="I24" s="5" t="s">
        <v>17</v>
      </c>
      <c r="J24" s="7">
        <f>SUM(E13:E15)</f>
        <v>964.35500000000002</v>
      </c>
      <c r="K24" s="7">
        <f t="shared" si="7"/>
        <v>1186.1566499999999</v>
      </c>
      <c r="L24" s="7">
        <f t="shared" si="8"/>
        <v>221.80164999999988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560.16</v>
      </c>
      <c r="K27" s="7">
        <f t="shared" si="7"/>
        <v>688.99680000000001</v>
      </c>
      <c r="L27" s="7">
        <f t="shared" si="8"/>
        <v>128.83680000000004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450</v>
      </c>
      <c r="K29" s="7">
        <f t="shared" si="7"/>
        <v>553.5</v>
      </c>
      <c r="L29" s="7">
        <f t="shared" si="8"/>
        <v>103.5</v>
      </c>
      <c r="M29" s="54"/>
      <c r="N29" s="54">
        <v>60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7"/>
        <v>44.28</v>
      </c>
      <c r="L30" s="18">
        <f t="shared" si="8"/>
        <v>8.2800000000000011</v>
      </c>
      <c r="M30" s="55">
        <f>SUM(J25:J32)</f>
        <v>1193.07</v>
      </c>
      <c r="N30" s="55">
        <f>M30/N29</f>
        <v>19.884499999999999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33.729999999999997</v>
      </c>
      <c r="K32" s="7">
        <f>J32*1.23</f>
        <v>41.487899999999996</v>
      </c>
      <c r="L32" s="7">
        <f>K32-J32</f>
        <v>7.7578999999999994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 t="s">
        <v>85</v>
      </c>
      <c r="K35" s="42">
        <v>4153.25</v>
      </c>
      <c r="L35" s="42">
        <f t="shared" ref="L35:L43" si="9">K35*1.23</f>
        <v>5108.4974999999995</v>
      </c>
      <c r="M35" s="43">
        <f t="shared" ref="M35:M43" si="10">L35-K35</f>
        <v>955.24749999999949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 t="s">
        <v>77</v>
      </c>
      <c r="K36" s="9">
        <v>560.16</v>
      </c>
      <c r="L36" s="9">
        <f t="shared" si="9"/>
        <v>688.99680000000001</v>
      </c>
      <c r="M36" s="7">
        <f t="shared" si="10"/>
        <v>128.83680000000004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71</v>
      </c>
      <c r="J37" s="18">
        <v>20046514</v>
      </c>
      <c r="K37" s="9">
        <v>115.1</v>
      </c>
      <c r="L37" s="9">
        <f t="shared" si="9"/>
        <v>141.57299999999998</v>
      </c>
      <c r="M37" s="7">
        <f t="shared" si="10"/>
        <v>26.472999999999985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 t="s">
        <v>71</v>
      </c>
      <c r="J38" s="18">
        <v>90001418</v>
      </c>
      <c r="K38" s="9">
        <v>-48</v>
      </c>
      <c r="L38" s="9">
        <f t="shared" si="9"/>
        <v>-59.04</v>
      </c>
      <c r="M38" s="7">
        <f t="shared" si="10"/>
        <v>-11.04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>
        <v>20046416</v>
      </c>
      <c r="K39" s="9">
        <v>162.80000000000001</v>
      </c>
      <c r="L39" s="9">
        <f t="shared" si="9"/>
        <v>200.244</v>
      </c>
      <c r="M39" s="7">
        <f t="shared" si="10"/>
        <v>37.443999999999988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 t="s">
        <v>82</v>
      </c>
      <c r="K40" s="9">
        <v>232.5</v>
      </c>
      <c r="L40" s="9">
        <f t="shared" si="9"/>
        <v>285.97500000000002</v>
      </c>
      <c r="M40" s="7">
        <f t="shared" si="10"/>
        <v>53.475000000000023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 t="s">
        <v>81</v>
      </c>
      <c r="K41" s="18">
        <v>58.62</v>
      </c>
      <c r="L41" s="9">
        <f t="shared" si="9"/>
        <v>72.102599999999995</v>
      </c>
      <c r="M41" s="7">
        <f t="shared" si="10"/>
        <v>13.482599999999998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 t="s">
        <v>79</v>
      </c>
      <c r="K42" s="18">
        <v>33.729999999999997</v>
      </c>
      <c r="L42" s="9">
        <f t="shared" si="9"/>
        <v>41.487899999999996</v>
      </c>
      <c r="M42" s="7">
        <f t="shared" si="10"/>
        <v>7.7578999999999994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 t="s">
        <v>84</v>
      </c>
      <c r="K43" s="36">
        <v>268.29000000000002</v>
      </c>
      <c r="L43" s="37">
        <f t="shared" si="9"/>
        <v>329.99670000000003</v>
      </c>
      <c r="M43" s="38">
        <f t="shared" si="10"/>
        <v>61.706700000000012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5536.45</v>
      </c>
      <c r="L44" s="76">
        <f>SUM(L35:L43)</f>
        <v>6809.8334999999997</v>
      </c>
      <c r="M44" s="40">
        <f>SUM(M35:M43)</f>
        <v>1273.3834999999995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81.046749999999989</v>
      </c>
      <c r="P47" s="9">
        <f>O47*20</f>
        <v>1620.9349999999997</v>
      </c>
      <c r="Q47" s="9">
        <f>O47*1.23</f>
        <v>99.687502499999979</v>
      </c>
      <c r="R47" s="9">
        <f>P47*1.23</f>
        <v>1993.7500499999996</v>
      </c>
    </row>
    <row r="48" spans="2:26">
      <c r="I48" s="6" t="s">
        <v>24</v>
      </c>
      <c r="J48" s="7">
        <f>K44</f>
        <v>5536.45</v>
      </c>
      <c r="K48" s="7">
        <f>L44</f>
        <v>6809.8334999999997</v>
      </c>
      <c r="L48" s="7">
        <f>M44</f>
        <v>1273.3834999999995</v>
      </c>
      <c r="N48" s="18" t="s">
        <v>112</v>
      </c>
      <c r="O48" s="7">
        <f>SUM(K5:O5)</f>
        <v>82.117474999999999</v>
      </c>
      <c r="P48" s="9">
        <f t="shared" ref="P48" si="11">O48*20</f>
        <v>1642.3495</v>
      </c>
      <c r="Q48" s="9">
        <f t="shared" ref="Q48:Q49" si="12">O48*1.23</f>
        <v>101.00449424999999</v>
      </c>
      <c r="R48" s="9">
        <f>P48*1.23</f>
        <v>2020.0898850000001</v>
      </c>
    </row>
    <row r="49" spans="9:18" ht="15.75" thickBot="1">
      <c r="I49" s="64" t="s">
        <v>25</v>
      </c>
      <c r="J49" s="65">
        <f>J47-J48</f>
        <v>-5536.45</v>
      </c>
      <c r="K49" s="65">
        <f>K47-K48</f>
        <v>-6809.8334999999997</v>
      </c>
      <c r="L49" s="65">
        <f>L47-L48</f>
        <v>-1273.3834999999995</v>
      </c>
      <c r="N49" s="9" t="s">
        <v>113</v>
      </c>
      <c r="O49" s="38">
        <f>SUM(K6:O6)</f>
        <v>90.005899999999997</v>
      </c>
      <c r="P49" s="37">
        <f>O49*20</f>
        <v>1800.1179999999999</v>
      </c>
      <c r="Q49" s="37">
        <f t="shared" si="12"/>
        <v>110.707257</v>
      </c>
      <c r="R49" s="37">
        <f t="shared" ref="R49" si="13">P49*1.23</f>
        <v>2214.1451400000001</v>
      </c>
    </row>
    <row r="50" spans="9:18" ht="13.5" thickBot="1">
      <c r="O50" s="73" t="s">
        <v>115</v>
      </c>
      <c r="P50" s="75">
        <f>SUM(P47:P49)</f>
        <v>5063.4025000000001</v>
      </c>
      <c r="Q50" s="74" t="s">
        <v>116</v>
      </c>
      <c r="R50" s="75">
        <f>SUM(R47:R49)</f>
        <v>6227.9850750000005</v>
      </c>
    </row>
  </sheetData>
  <mergeCells count="1">
    <mergeCell ref="I21:L21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"/>
  <sheetViews>
    <sheetView topLeftCell="B1" zoomScaleNormal="100" workbookViewId="0">
      <selection activeCell="D30" sqref="D30"/>
    </sheetView>
  </sheetViews>
  <sheetFormatPr defaultRowHeight="12.75"/>
  <cols>
    <col min="1" max="1" width="21" style="97" customWidth="1"/>
    <col min="2" max="2" width="25" customWidth="1"/>
    <col min="3" max="3" width="6" bestFit="1" customWidth="1"/>
    <col min="4" max="4" width="10.5703125" customWidth="1"/>
    <col min="5" max="5" width="15.7109375" customWidth="1"/>
    <col min="6" max="6" width="15.42578125" customWidth="1"/>
    <col min="7" max="7" width="11.42578125" customWidth="1"/>
    <col min="8" max="8" width="12.5703125" customWidth="1"/>
    <col min="9" max="9" width="27" customWidth="1"/>
    <col min="10" max="10" width="12.42578125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2" width="9" bestFit="1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 customHeight="1">
      <c r="A1" s="93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69"/>
      <c r="S1" s="69"/>
      <c r="T1" s="45"/>
      <c r="U1" s="1"/>
      <c r="V1" s="1"/>
      <c r="W1" s="1"/>
      <c r="X1" s="1"/>
      <c r="Y1" s="1" t="s">
        <v>3</v>
      </c>
      <c r="Z1" s="1" t="s">
        <v>4</v>
      </c>
      <c r="AA1" s="2" t="s">
        <v>5</v>
      </c>
    </row>
    <row r="2" spans="1:27">
      <c r="A2" s="92" t="s">
        <v>153</v>
      </c>
      <c r="B2" s="29" t="s">
        <v>154</v>
      </c>
      <c r="C2" s="18">
        <v>1.01</v>
      </c>
      <c r="D2" s="6">
        <v>1</v>
      </c>
      <c r="E2" s="7">
        <f t="shared" ref="E2:E20" si="0">C2*D2</f>
        <v>1.01</v>
      </c>
      <c r="F2" s="7">
        <f>E2*1.23</f>
        <v>1.2423</v>
      </c>
      <c r="G2" s="7">
        <f>F2-E2</f>
        <v>0.23229999999999995</v>
      </c>
      <c r="H2" s="3"/>
      <c r="I2" s="1"/>
      <c r="J2" s="1"/>
      <c r="K2" s="1"/>
      <c r="L2" s="1"/>
      <c r="M2" s="1"/>
      <c r="N2" s="1"/>
      <c r="O2" s="1"/>
      <c r="P2" s="1"/>
      <c r="Q2" s="1"/>
      <c r="R2" s="70"/>
      <c r="S2" s="69" t="s">
        <v>109</v>
      </c>
      <c r="T2" s="47"/>
      <c r="U2" s="1"/>
      <c r="V2" s="1"/>
      <c r="W2" s="14" t="s">
        <v>100</v>
      </c>
      <c r="X2" s="1"/>
      <c r="Y2" s="3">
        <f>K44</f>
        <v>6214.26</v>
      </c>
      <c r="Z2" s="3">
        <f>W12</f>
        <v>10128.99</v>
      </c>
      <c r="AA2" s="4">
        <f>(Z2-Y2)*0.19</f>
        <v>743.79869999999994</v>
      </c>
    </row>
    <row r="3" spans="1:27">
      <c r="A3" s="92" t="s">
        <v>152</v>
      </c>
      <c r="B3" s="29" t="s">
        <v>154</v>
      </c>
      <c r="C3" s="21">
        <v>4.4000000000000004</v>
      </c>
      <c r="D3" s="31">
        <v>1</v>
      </c>
      <c r="E3" s="32">
        <f t="shared" si="0"/>
        <v>4.4000000000000004</v>
      </c>
      <c r="F3" s="32">
        <f>E3*1.23</f>
        <v>5.4119999999999999</v>
      </c>
      <c r="G3" s="32">
        <f>F3-E3</f>
        <v>1.0119999999999996</v>
      </c>
      <c r="H3" s="3"/>
      <c r="I3" s="20" t="s">
        <v>31</v>
      </c>
      <c r="J3" s="20" t="s">
        <v>26</v>
      </c>
      <c r="K3" s="16" t="s">
        <v>92</v>
      </c>
      <c r="L3" s="16" t="s">
        <v>141</v>
      </c>
      <c r="M3" s="16" t="s">
        <v>155</v>
      </c>
      <c r="N3" s="16" t="s">
        <v>17</v>
      </c>
      <c r="O3" s="16" t="s">
        <v>46</v>
      </c>
      <c r="P3" s="16" t="s">
        <v>62</v>
      </c>
      <c r="Q3" s="20" t="s">
        <v>27</v>
      </c>
      <c r="R3" s="16" t="s">
        <v>86</v>
      </c>
      <c r="S3" s="46" t="s">
        <v>19</v>
      </c>
      <c r="T3" s="46" t="s">
        <v>94</v>
      </c>
      <c r="U3" s="17" t="s">
        <v>28</v>
      </c>
      <c r="V3" s="17" t="s">
        <v>37</v>
      </c>
      <c r="W3" s="59">
        <v>1</v>
      </c>
      <c r="X3" s="8"/>
      <c r="Y3" s="1" t="s">
        <v>6</v>
      </c>
      <c r="Z3" s="1" t="s">
        <v>7</v>
      </c>
      <c r="AA3" s="1" t="s">
        <v>12</v>
      </c>
    </row>
    <row r="4" spans="1:27">
      <c r="A4" s="94" t="s">
        <v>147</v>
      </c>
      <c r="B4" s="29" t="s">
        <v>125</v>
      </c>
      <c r="C4" s="18">
        <v>1625</v>
      </c>
      <c r="D4" s="6">
        <v>1</v>
      </c>
      <c r="E4" s="7">
        <f t="shared" si="0"/>
        <v>1625</v>
      </c>
      <c r="F4" s="7">
        <f>E4*1.23</f>
        <v>1998.75</v>
      </c>
      <c r="G4" s="7">
        <f>F4-E4</f>
        <v>373.75</v>
      </c>
      <c r="H4" s="3"/>
      <c r="I4" s="5" t="s">
        <v>147</v>
      </c>
      <c r="J4" s="6">
        <v>2</v>
      </c>
      <c r="K4" s="7">
        <f>SUM(C8)</f>
        <v>2.2000000000000002</v>
      </c>
      <c r="L4" s="7">
        <f>SUM(C4,C9)</f>
        <v>1908.92</v>
      </c>
      <c r="M4" s="7">
        <f>SUM(C12*16)</f>
        <v>7.04</v>
      </c>
      <c r="N4" s="7">
        <f>SUM(C15*J4)</f>
        <v>21.04</v>
      </c>
      <c r="O4" s="7">
        <f>SUM(C13*0.33)</f>
        <v>9.5997000000000003</v>
      </c>
      <c r="P4" s="7">
        <f>O30</f>
        <v>186.32666666666668</v>
      </c>
      <c r="Q4" s="7">
        <v>120</v>
      </c>
      <c r="R4" s="7">
        <f>SUM(K4:Q4)</f>
        <v>2255.1263666666669</v>
      </c>
      <c r="S4" s="85">
        <v>3260.67</v>
      </c>
      <c r="T4" s="9">
        <f>SUM(S4/T15)</f>
        <v>716.63076923076926</v>
      </c>
      <c r="U4" s="27">
        <f>(S4-R4)/S4</f>
        <v>0.3083855874201723</v>
      </c>
      <c r="V4" s="27">
        <f>((S4-R4)/R4)</f>
        <v>0.44589236691850709</v>
      </c>
      <c r="W4" s="7">
        <f>S4*$W$3</f>
        <v>3260.67</v>
      </c>
      <c r="X4" s="8"/>
      <c r="Y4" s="3">
        <f>L44</f>
        <v>7643.5398000000005</v>
      </c>
      <c r="Z4" s="3">
        <f>Z2*1.23</f>
        <v>12458.6577</v>
      </c>
      <c r="AA4" s="3">
        <f>Z4-Z2</f>
        <v>2329.6677</v>
      </c>
    </row>
    <row r="5" spans="1:27">
      <c r="A5" s="94" t="s">
        <v>146</v>
      </c>
      <c r="B5" s="29" t="s">
        <v>125</v>
      </c>
      <c r="C5" s="18">
        <v>1950</v>
      </c>
      <c r="D5" s="6">
        <v>1</v>
      </c>
      <c r="E5" s="7">
        <f t="shared" si="0"/>
        <v>1950</v>
      </c>
      <c r="F5" s="7">
        <f t="shared" ref="F5:F20" si="1">E5*1.23</f>
        <v>2398.5</v>
      </c>
      <c r="G5" s="7">
        <f t="shared" ref="G5:G20" si="2">F5-E5</f>
        <v>448.5</v>
      </c>
      <c r="H5" s="3"/>
      <c r="I5" s="5" t="s">
        <v>146</v>
      </c>
      <c r="J5" s="6">
        <v>2</v>
      </c>
      <c r="K5" s="7">
        <f>SUM(C2,C3)</f>
        <v>5.41</v>
      </c>
      <c r="L5" s="7">
        <f>SUM(C5,C10)</f>
        <v>2351.31</v>
      </c>
      <c r="M5" s="7">
        <f>SUM(C12*18)</f>
        <v>7.92</v>
      </c>
      <c r="N5" s="7">
        <f>SUM(C16*J5)</f>
        <v>23.56</v>
      </c>
      <c r="O5" s="7">
        <f>SUM(C13*0.33)</f>
        <v>9.5997000000000003</v>
      </c>
      <c r="P5" s="7">
        <f>O30</f>
        <v>186.32666666666668</v>
      </c>
      <c r="Q5" s="7">
        <v>120</v>
      </c>
      <c r="R5" s="7">
        <f>SUM(K5:Q5)</f>
        <v>2704.1263666666669</v>
      </c>
      <c r="S5" s="85">
        <v>3775.55</v>
      </c>
      <c r="T5" s="9">
        <f>SUM(S5/T15)</f>
        <v>829.79120879120887</v>
      </c>
      <c r="U5" s="27">
        <f>(S5-R5)/S5</f>
        <v>0.28377948466669312</v>
      </c>
      <c r="V5" s="27">
        <f>((S5-R5)/R5)</f>
        <v>0.39621803423856261</v>
      </c>
      <c r="W5" s="7">
        <f>S5*$W$3</f>
        <v>3775.55</v>
      </c>
      <c r="X5" s="8"/>
      <c r="Y5" s="1" t="s">
        <v>11</v>
      </c>
      <c r="Z5" s="1" t="s">
        <v>12</v>
      </c>
      <c r="AA5" s="2" t="s">
        <v>32</v>
      </c>
    </row>
    <row r="6" spans="1:27">
      <c r="A6" s="94" t="s">
        <v>148</v>
      </c>
      <c r="B6" s="29" t="s">
        <v>125</v>
      </c>
      <c r="C6" s="18">
        <v>1100</v>
      </c>
      <c r="D6" s="6">
        <v>1</v>
      </c>
      <c r="E6" s="7">
        <f t="shared" si="0"/>
        <v>1100</v>
      </c>
      <c r="F6" s="7">
        <f t="shared" si="1"/>
        <v>1353</v>
      </c>
      <c r="G6" s="7">
        <f t="shared" si="2"/>
        <v>253</v>
      </c>
      <c r="H6" s="3"/>
      <c r="I6" s="5" t="s">
        <v>148</v>
      </c>
      <c r="J6" s="6">
        <v>2</v>
      </c>
      <c r="K6" s="7">
        <f>SUM(C7)</f>
        <v>2.16</v>
      </c>
      <c r="L6" s="7">
        <f>SUM(C6,C11)</f>
        <v>1277.45</v>
      </c>
      <c r="M6" s="7">
        <f>SUM(C12*16)</f>
        <v>7.04</v>
      </c>
      <c r="N6" s="7">
        <f>SUM(C14*J6)</f>
        <v>12.14</v>
      </c>
      <c r="O6" s="7">
        <f>SUM(C13*0.33)</f>
        <v>9.5997000000000003</v>
      </c>
      <c r="P6" s="7">
        <f>O30</f>
        <v>186.32666666666668</v>
      </c>
      <c r="Q6" s="7">
        <v>120</v>
      </c>
      <c r="R6" s="7">
        <f>SUM(K6:Q6)</f>
        <v>1614.7163666666668</v>
      </c>
      <c r="S6" s="85">
        <v>3092.77</v>
      </c>
      <c r="T6" s="9">
        <f>SUM(S6/T15)</f>
        <v>679.7296703296704</v>
      </c>
      <c r="U6" s="27">
        <f>(S6-R6)/S6</f>
        <v>0.47790609496772579</v>
      </c>
      <c r="V6" s="27">
        <f>((S6-R6)/R6)</f>
        <v>0.91536424838781272</v>
      </c>
      <c r="W6" s="7">
        <f>S6*$W$3</f>
        <v>3092.77</v>
      </c>
      <c r="X6" s="8"/>
      <c r="Y6" s="3">
        <f>M44</f>
        <v>1429.2798</v>
      </c>
      <c r="Z6" s="3">
        <f>AA4</f>
        <v>2329.6677</v>
      </c>
      <c r="AA6" s="4">
        <f>Z6-Y6</f>
        <v>900.38789999999995</v>
      </c>
    </row>
    <row r="7" spans="1:27">
      <c r="A7" s="92" t="s">
        <v>157</v>
      </c>
      <c r="B7" s="29" t="s">
        <v>154</v>
      </c>
      <c r="C7" s="18">
        <v>2.16</v>
      </c>
      <c r="D7" s="6">
        <v>1</v>
      </c>
      <c r="E7" s="7">
        <f t="shared" ref="E7:E8" si="3">C7*D7</f>
        <v>2.16</v>
      </c>
      <c r="F7" s="7">
        <f>E7*1.23</f>
        <v>2.6568000000000001</v>
      </c>
      <c r="G7" s="7">
        <f>F7-E7</f>
        <v>0.49679999999999991</v>
      </c>
      <c r="H7" s="3"/>
      <c r="I7" s="5"/>
      <c r="J7" s="6"/>
      <c r="K7" s="5"/>
      <c r="L7" s="6"/>
      <c r="M7" s="6"/>
      <c r="N7" s="7"/>
      <c r="O7" s="7"/>
      <c r="P7" s="7"/>
      <c r="Q7" s="7"/>
      <c r="R7" s="7"/>
      <c r="S7" s="9"/>
      <c r="T7" s="9"/>
      <c r="U7" s="27"/>
      <c r="V7" s="27"/>
      <c r="W7" s="7"/>
      <c r="X7" s="8"/>
      <c r="Y7" s="1"/>
      <c r="Z7" s="1"/>
      <c r="AA7" s="1"/>
    </row>
    <row r="8" spans="1:27" ht="14.25" customHeight="1">
      <c r="A8" s="92" t="s">
        <v>156</v>
      </c>
      <c r="B8" s="29" t="s">
        <v>154</v>
      </c>
      <c r="C8" s="21">
        <v>2.2000000000000002</v>
      </c>
      <c r="D8" s="31">
        <v>1</v>
      </c>
      <c r="E8" s="32">
        <f t="shared" si="3"/>
        <v>2.2000000000000002</v>
      </c>
      <c r="F8" s="32">
        <f>E8*1.23</f>
        <v>2.706</v>
      </c>
      <c r="G8" s="32">
        <f>F8-E8</f>
        <v>0.50599999999999978</v>
      </c>
      <c r="H8" s="3"/>
      <c r="I8" s="5"/>
      <c r="J8" s="6"/>
      <c r="K8" s="6"/>
      <c r="L8" s="6"/>
      <c r="M8" s="6"/>
      <c r="N8" s="7"/>
      <c r="O8" s="7"/>
      <c r="P8" s="7"/>
      <c r="Q8" s="6"/>
      <c r="R8" s="7"/>
      <c r="S8" s="7"/>
      <c r="T8" s="9"/>
      <c r="U8" s="27"/>
      <c r="V8" s="27"/>
      <c r="W8" s="7"/>
      <c r="X8" s="1"/>
      <c r="Y8" s="1"/>
      <c r="Z8" s="1" t="s">
        <v>20</v>
      </c>
      <c r="AA8" s="2" t="s">
        <v>13</v>
      </c>
    </row>
    <row r="9" spans="1:27" ht="15" customHeight="1" thickBot="1">
      <c r="A9" s="92" t="s">
        <v>149</v>
      </c>
      <c r="B9" s="30" t="s">
        <v>159</v>
      </c>
      <c r="C9" s="18">
        <v>283.92</v>
      </c>
      <c r="D9" s="6">
        <v>1</v>
      </c>
      <c r="E9" s="7">
        <f t="shared" si="0"/>
        <v>283.92</v>
      </c>
      <c r="F9" s="7">
        <f t="shared" si="1"/>
        <v>349.22160000000002</v>
      </c>
      <c r="G9" s="7">
        <f t="shared" si="2"/>
        <v>65.301600000000008</v>
      </c>
      <c r="H9" s="3"/>
      <c r="I9" s="5"/>
      <c r="J9" s="6"/>
      <c r="K9" s="6"/>
      <c r="L9" s="6"/>
      <c r="M9" s="6"/>
      <c r="N9" s="7"/>
      <c r="O9" s="7"/>
      <c r="P9" s="7"/>
      <c r="Q9" s="22"/>
      <c r="R9" s="7"/>
      <c r="S9" s="9"/>
      <c r="T9" s="9"/>
      <c r="U9" s="27"/>
      <c r="V9" s="27"/>
      <c r="W9" s="7"/>
      <c r="Y9" s="1"/>
      <c r="Z9" s="3">
        <f>Z4-Y4</f>
        <v>4815.1178999999993</v>
      </c>
      <c r="AA9" s="63">
        <f>AA2+AA6</f>
        <v>1644.1866</v>
      </c>
    </row>
    <row r="10" spans="1:27" ht="15.75" customHeight="1" thickTop="1">
      <c r="A10" s="92" t="s">
        <v>150</v>
      </c>
      <c r="B10" s="30" t="s">
        <v>160</v>
      </c>
      <c r="C10" s="18">
        <v>401.31</v>
      </c>
      <c r="D10" s="6">
        <v>1</v>
      </c>
      <c r="E10" s="7">
        <f t="shared" si="0"/>
        <v>401.31</v>
      </c>
      <c r="F10" s="7">
        <f t="shared" si="1"/>
        <v>493.61129999999997</v>
      </c>
      <c r="G10" s="7">
        <f t="shared" si="2"/>
        <v>92.301299999999969</v>
      </c>
      <c r="H10" s="3"/>
      <c r="I10" s="5"/>
      <c r="J10" s="18"/>
      <c r="K10" s="18"/>
      <c r="L10" s="18"/>
      <c r="M10" s="18"/>
      <c r="N10" s="7"/>
      <c r="O10" s="7"/>
      <c r="P10" s="7"/>
      <c r="Q10" s="23"/>
      <c r="R10" s="7"/>
      <c r="S10" s="9"/>
      <c r="T10" s="9"/>
      <c r="U10" s="27"/>
      <c r="V10" s="27"/>
      <c r="W10" s="7"/>
      <c r="X10" s="1"/>
      <c r="Y10" s="1"/>
      <c r="Z10" s="1"/>
      <c r="AA10" s="1"/>
    </row>
    <row r="11" spans="1:27" ht="15" customHeight="1">
      <c r="A11" s="92" t="s">
        <v>151</v>
      </c>
      <c r="B11" s="30" t="s">
        <v>161</v>
      </c>
      <c r="C11" s="18">
        <v>177.45</v>
      </c>
      <c r="D11" s="18">
        <v>1</v>
      </c>
      <c r="E11" s="7">
        <f t="shared" si="0"/>
        <v>177.45</v>
      </c>
      <c r="F11" s="7">
        <f t="shared" si="1"/>
        <v>218.26349999999999</v>
      </c>
      <c r="G11" s="7">
        <f t="shared" si="2"/>
        <v>40.813500000000005</v>
      </c>
      <c r="H11" s="3"/>
      <c r="I11" s="24"/>
      <c r="J11" s="18"/>
      <c r="K11" s="18"/>
      <c r="L11" s="18"/>
      <c r="M11" s="18"/>
      <c r="N11" s="7"/>
      <c r="O11" s="7"/>
      <c r="P11" s="7"/>
      <c r="Q11" s="25"/>
      <c r="R11" s="6"/>
      <c r="S11" s="9"/>
      <c r="T11" s="9"/>
      <c r="U11" s="27"/>
      <c r="V11" s="27"/>
      <c r="W11" s="6"/>
      <c r="X11" s="1"/>
      <c r="Y11" s="1"/>
      <c r="Z11" s="82" t="s">
        <v>14</v>
      </c>
      <c r="AA11" s="52" t="s">
        <v>131</v>
      </c>
    </row>
    <row r="12" spans="1:27">
      <c r="A12" s="95" t="s">
        <v>158</v>
      </c>
      <c r="B12" s="30" t="s">
        <v>121</v>
      </c>
      <c r="C12" s="18">
        <v>0.44</v>
      </c>
      <c r="D12" s="18">
        <v>50</v>
      </c>
      <c r="E12" s="7">
        <f t="shared" si="0"/>
        <v>22</v>
      </c>
      <c r="F12" s="7">
        <f t="shared" si="1"/>
        <v>27.06</v>
      </c>
      <c r="G12" s="7">
        <f t="shared" si="2"/>
        <v>5.0599999999999987</v>
      </c>
      <c r="H12" s="3"/>
      <c r="Q12" s="10"/>
      <c r="R12" s="14" t="s">
        <v>29</v>
      </c>
      <c r="S12" s="15">
        <v>2.15</v>
      </c>
      <c r="T12" s="48"/>
      <c r="V12" s="1" t="s">
        <v>96</v>
      </c>
      <c r="W12" s="72">
        <f>SUM(W4:W11)</f>
        <v>10128.99</v>
      </c>
      <c r="X12" s="1"/>
      <c r="Y12" s="1"/>
      <c r="Z12" s="83">
        <f>Z9-AA9</f>
        <v>3170.9312999999993</v>
      </c>
      <c r="AA12" s="84">
        <f>(Z12/3)</f>
        <v>1056.9770999999998</v>
      </c>
    </row>
    <row r="13" spans="1:27" ht="15.75" thickBot="1">
      <c r="A13" s="6" t="s">
        <v>166</v>
      </c>
      <c r="B13" s="96" t="s">
        <v>128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Q13" s="10"/>
      <c r="S13" s="360" t="s">
        <v>172</v>
      </c>
      <c r="T13" s="360"/>
      <c r="U13" s="360"/>
      <c r="V13" s="360"/>
      <c r="W13" s="72">
        <f>SUM(W12*1.23)</f>
        <v>12458.6577</v>
      </c>
      <c r="X13" s="1"/>
      <c r="Y13" s="50" t="s">
        <v>95</v>
      </c>
      <c r="Z13" s="51">
        <f>Z12*0.05</f>
        <v>158.54656499999999</v>
      </c>
      <c r="AA13" s="1"/>
    </row>
    <row r="14" spans="1:27">
      <c r="A14" s="95" t="s">
        <v>162</v>
      </c>
      <c r="B14" s="100" t="s">
        <v>165</v>
      </c>
      <c r="C14" s="23">
        <v>6.07</v>
      </c>
      <c r="D14" s="6">
        <v>2</v>
      </c>
      <c r="E14" s="7">
        <f t="shared" si="0"/>
        <v>12.14</v>
      </c>
      <c r="F14" s="7">
        <f t="shared" si="1"/>
        <v>14.9322</v>
      </c>
      <c r="G14" s="7">
        <f t="shared" si="2"/>
        <v>2.7921999999999993</v>
      </c>
      <c r="H14" s="1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95" t="s">
        <v>163</v>
      </c>
      <c r="B15" s="100" t="s">
        <v>165</v>
      </c>
      <c r="C15" s="23">
        <v>10.52</v>
      </c>
      <c r="D15" s="18">
        <v>2</v>
      </c>
      <c r="E15" s="7">
        <f t="shared" si="0"/>
        <v>21.04</v>
      </c>
      <c r="F15" s="7">
        <f t="shared" si="1"/>
        <v>25.879199999999997</v>
      </c>
      <c r="G15" s="7">
        <f t="shared" si="2"/>
        <v>4.8391999999999982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/>
      <c r="N15" s="62" t="s">
        <v>103</v>
      </c>
      <c r="O15" s="62" t="s">
        <v>104</v>
      </c>
      <c r="P15" s="62" t="s">
        <v>105</v>
      </c>
      <c r="Q15" s="62" t="s">
        <v>106</v>
      </c>
      <c r="R15" s="62" t="s">
        <v>107</v>
      </c>
      <c r="S15" s="66" t="s">
        <v>93</v>
      </c>
      <c r="T15" s="1">
        <v>4.55</v>
      </c>
      <c r="U15" s="1"/>
      <c r="V15" s="1"/>
      <c r="W15" s="1"/>
      <c r="X15" s="1"/>
      <c r="Y15" s="1"/>
      <c r="Z15" s="1"/>
      <c r="AA15" s="1"/>
    </row>
    <row r="16" spans="1:27">
      <c r="A16" s="95" t="s">
        <v>164</v>
      </c>
      <c r="B16" s="100" t="s">
        <v>165</v>
      </c>
      <c r="C16" s="18">
        <v>11.78</v>
      </c>
      <c r="D16" s="18">
        <v>2</v>
      </c>
      <c r="E16" s="7">
        <f t="shared" si="0"/>
        <v>23.56</v>
      </c>
      <c r="F16" s="7">
        <f t="shared" si="1"/>
        <v>28.9788</v>
      </c>
      <c r="G16" s="18">
        <f t="shared" si="2"/>
        <v>5.4188000000000009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9"/>
      <c r="N16" s="18">
        <f>J16*20</f>
        <v>288000</v>
      </c>
      <c r="O16" s="9">
        <f>L16*J16</f>
        <v>240</v>
      </c>
      <c r="P16" s="9">
        <f>N16*L16</f>
        <v>4800</v>
      </c>
      <c r="Q16" s="68">
        <f>J16/3600</f>
        <v>4</v>
      </c>
      <c r="R16" s="68">
        <f>N16/3600</f>
        <v>80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96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9"/>
      <c r="N17" s="18">
        <f t="shared" ref="N17:N18" si="4">J17*20</f>
        <v>288000</v>
      </c>
      <c r="O17" s="9">
        <f>L17*J17</f>
        <v>240</v>
      </c>
      <c r="P17" s="9">
        <f>N17*L17</f>
        <v>4800</v>
      </c>
      <c r="Q17" s="68">
        <f t="shared" ref="Q17:Q18" si="5">J17/3600</f>
        <v>4</v>
      </c>
      <c r="R17" s="68">
        <f t="shared" ref="R17:R18" si="6">N17/3600</f>
        <v>80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96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si="4"/>
        <v>288000</v>
      </c>
      <c r="O18" s="9">
        <f>L18*J18</f>
        <v>240</v>
      </c>
      <c r="P18" s="9">
        <f>N18*L18</f>
        <v>4800</v>
      </c>
      <c r="Q18" s="68">
        <f t="shared" si="5"/>
        <v>4</v>
      </c>
      <c r="R18" s="68">
        <f t="shared" si="6"/>
        <v>80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96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96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96"/>
      <c r="B21" s="6" t="s">
        <v>18</v>
      </c>
      <c r="C21" s="6"/>
      <c r="D21" s="6"/>
      <c r="E21" s="7">
        <f>SUM(E2:E20)</f>
        <v>5655.2800000000007</v>
      </c>
      <c r="F21" s="7">
        <f>SUM(F2:F20)</f>
        <v>6955.9944000000005</v>
      </c>
      <c r="G21" s="7">
        <f>SUM(G2:G20)</f>
        <v>1300.7143999999998</v>
      </c>
      <c r="H21" s="1"/>
      <c r="I21" s="355" t="s">
        <v>24</v>
      </c>
      <c r="J21" s="356"/>
      <c r="K21" s="356"/>
      <c r="L21" s="357"/>
      <c r="M21" s="13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B22" s="1"/>
      <c r="C22" s="106"/>
      <c r="D22" s="107"/>
      <c r="E22" s="108" t="s">
        <v>169</v>
      </c>
      <c r="F22" s="109" t="s">
        <v>170</v>
      </c>
      <c r="G22" s="110" t="s">
        <v>10</v>
      </c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3"/>
      <c r="N22" s="12"/>
      <c r="O22" s="12"/>
    </row>
    <row r="23" spans="1:27">
      <c r="B23" s="1"/>
      <c r="C23" s="361" t="s">
        <v>141</v>
      </c>
      <c r="D23" s="362"/>
      <c r="E23" s="112">
        <f>(L4)</f>
        <v>1908.92</v>
      </c>
      <c r="F23" s="113">
        <f>E23*1.23</f>
        <v>2347.9715999999999</v>
      </c>
      <c r="G23" s="114">
        <f>(M4*0.23)</f>
        <v>1.6192</v>
      </c>
      <c r="H23" s="1"/>
      <c r="I23" s="5" t="s">
        <v>167</v>
      </c>
      <c r="J23" s="7">
        <f>SUM(E2:E12)</f>
        <v>5569.45</v>
      </c>
      <c r="K23" s="7">
        <f t="shared" ref="K23:K30" si="7">J23*1.23</f>
        <v>6850.4234999999999</v>
      </c>
      <c r="L23" s="7">
        <f t="shared" ref="L23:L30" si="8">K23-J23</f>
        <v>1280.9735000000001</v>
      </c>
      <c r="M23" s="13"/>
      <c r="N23" s="13"/>
      <c r="O23" s="13"/>
    </row>
    <row r="24" spans="1:27">
      <c r="C24" s="361" t="s">
        <v>141</v>
      </c>
      <c r="D24" s="362"/>
      <c r="E24" s="112">
        <f t="shared" ref="E24" si="9">(L5)</f>
        <v>2351.31</v>
      </c>
      <c r="F24" s="113">
        <f t="shared" ref="F24" si="10">E24*1.23</f>
        <v>2892.1113</v>
      </c>
      <c r="G24" s="114">
        <f>(M5*0.23)</f>
        <v>1.8216000000000001</v>
      </c>
      <c r="H24" s="1"/>
      <c r="I24" s="5" t="s">
        <v>129</v>
      </c>
      <c r="J24" s="7">
        <f>SUM(E13:E16)</f>
        <v>85.83</v>
      </c>
      <c r="K24" s="7">
        <f t="shared" si="7"/>
        <v>105.57089999999999</v>
      </c>
      <c r="L24" s="7">
        <f>K24-J24</f>
        <v>19.740899999999996</v>
      </c>
      <c r="M24" s="13"/>
      <c r="N24" s="8"/>
      <c r="O24" s="8"/>
    </row>
    <row r="25" spans="1:27">
      <c r="A25" s="98"/>
      <c r="B25" s="33"/>
      <c r="C25" s="361" t="s">
        <v>141</v>
      </c>
      <c r="D25" s="362"/>
      <c r="E25" s="112">
        <f>(L6)</f>
        <v>1277.45</v>
      </c>
      <c r="F25" s="113">
        <f>E25*1.23</f>
        <v>1571.2635</v>
      </c>
      <c r="G25" s="114">
        <f>(M6*0.23)</f>
        <v>1.6192</v>
      </c>
      <c r="H25" s="1"/>
      <c r="I25" s="6" t="s">
        <v>168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13"/>
      <c r="N25" s="8"/>
      <c r="O25" s="8"/>
    </row>
    <row r="26" spans="1:27">
      <c r="A26" s="99"/>
      <c r="B26" s="33"/>
      <c r="C26" s="358" t="s">
        <v>171</v>
      </c>
      <c r="D26" s="359"/>
      <c r="E26" s="359"/>
      <c r="F26" s="115">
        <f>SUM(F23:F25)</f>
        <v>6811.3463999999994</v>
      </c>
      <c r="G26" s="11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13"/>
      <c r="N26" s="8"/>
      <c r="O26" s="8"/>
    </row>
    <row r="27" spans="1:27">
      <c r="A27" s="98"/>
      <c r="B27" s="33"/>
      <c r="C27" s="101"/>
      <c r="D27" s="102"/>
      <c r="E27" s="102"/>
      <c r="F27" s="102"/>
      <c r="G27" s="103"/>
      <c r="H27" s="1"/>
      <c r="I27" s="6" t="s">
        <v>88</v>
      </c>
      <c r="J27" s="7">
        <v>120</v>
      </c>
      <c r="K27" s="7">
        <f>J27*1.23</f>
        <v>147.6</v>
      </c>
      <c r="L27" s="7">
        <f t="shared" si="8"/>
        <v>27.599999999999994</v>
      </c>
      <c r="M27" s="13"/>
      <c r="N27" s="8"/>
      <c r="O27" s="8"/>
    </row>
    <row r="28" spans="1:27">
      <c r="A28" s="98"/>
      <c r="B28" s="8"/>
      <c r="C28" s="12"/>
      <c r="D28" s="102"/>
      <c r="E28" s="104"/>
      <c r="F28" s="102"/>
      <c r="G28" s="104"/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13"/>
      <c r="N28" s="53" t="s">
        <v>62</v>
      </c>
      <c r="O28" s="53" t="s">
        <v>97</v>
      </c>
    </row>
    <row r="29" spans="1:27">
      <c r="A29" s="98"/>
      <c r="B29" s="8"/>
      <c r="C29" s="12"/>
      <c r="D29" s="102"/>
      <c r="E29" s="104"/>
      <c r="F29" s="102"/>
      <c r="G29" s="104"/>
      <c r="H29" s="1"/>
      <c r="I29" s="5" t="s">
        <v>35</v>
      </c>
      <c r="J29" s="7">
        <v>100</v>
      </c>
      <c r="K29" s="7">
        <f t="shared" si="7"/>
        <v>123</v>
      </c>
      <c r="L29" s="7">
        <f t="shared" si="8"/>
        <v>23</v>
      </c>
      <c r="M29" s="13"/>
      <c r="N29" s="54"/>
      <c r="O29" s="54">
        <v>3</v>
      </c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98"/>
      <c r="B30" s="8"/>
      <c r="C30" s="105"/>
      <c r="D30" s="105"/>
      <c r="E30" s="104"/>
      <c r="F30" s="102"/>
      <c r="G30" s="104"/>
      <c r="H30" s="1"/>
      <c r="I30" s="6" t="s">
        <v>117</v>
      </c>
      <c r="J30" s="18">
        <v>150</v>
      </c>
      <c r="K30" s="18">
        <f t="shared" si="7"/>
        <v>184.5</v>
      </c>
      <c r="L30" s="18">
        <f t="shared" si="8"/>
        <v>34.5</v>
      </c>
      <c r="M30" s="33"/>
      <c r="N30" s="55">
        <f>SUM(J25:J33)</f>
        <v>558.98</v>
      </c>
      <c r="O30" s="55">
        <f>N30/O29</f>
        <v>186.32666666666668</v>
      </c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02"/>
      <c r="D31" s="103"/>
      <c r="E31" s="102"/>
      <c r="F31" s="102"/>
      <c r="G31" s="102"/>
      <c r="H31" s="1"/>
      <c r="I31" s="6" t="s">
        <v>173</v>
      </c>
      <c r="J31" s="6">
        <v>100</v>
      </c>
      <c r="K31" s="7">
        <f>J31*1.23</f>
        <v>123</v>
      </c>
      <c r="L31" s="7">
        <f>K31-J31</f>
        <v>23</v>
      </c>
      <c r="M31" s="13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02"/>
      <c r="D32" s="103"/>
      <c r="E32" s="102"/>
      <c r="F32" s="102"/>
      <c r="G32" s="102"/>
      <c r="H32" s="1"/>
      <c r="I32" s="6"/>
      <c r="J32" s="6"/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3.5" thickBot="1">
      <c r="B33" s="1"/>
      <c r="C33" s="102"/>
      <c r="D33" s="103"/>
      <c r="E33" s="102"/>
      <c r="F33" s="102"/>
      <c r="G33" s="102"/>
      <c r="H33" s="1"/>
      <c r="I33" s="35"/>
      <c r="J33" s="35"/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>
      <c r="B34" s="1"/>
      <c r="C34" s="102"/>
      <c r="D34" s="102"/>
      <c r="E34" s="102"/>
      <c r="F34" s="102"/>
      <c r="G34" s="102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02"/>
      <c r="D35" s="102"/>
      <c r="E35" s="102"/>
      <c r="F35" s="102"/>
      <c r="G35" s="102"/>
      <c r="H35" s="1"/>
      <c r="I35" s="41" t="s">
        <v>70</v>
      </c>
      <c r="J35" s="41">
        <v>1</v>
      </c>
      <c r="K35" s="42">
        <v>147.96</v>
      </c>
      <c r="L35" s="42">
        <f t="shared" ref="L35:L43" si="11">K35*1.23</f>
        <v>181.99080000000001</v>
      </c>
      <c r="M35" s="43">
        <f t="shared" ref="M35:M43" si="12">L35-K35</f>
        <v>34.030799999999999</v>
      </c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11"/>
        <v>147.6</v>
      </c>
      <c r="M36" s="7">
        <f t="shared" si="12"/>
        <v>27.599999999999994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v>5537.68</v>
      </c>
      <c r="L37" s="9">
        <f t="shared" si="11"/>
        <v>6811.3464000000004</v>
      </c>
      <c r="M37" s="7">
        <f t="shared" si="12"/>
        <v>1273.6664000000001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62</v>
      </c>
      <c r="J38" s="18">
        <v>4</v>
      </c>
      <c r="K38" s="9">
        <v>408.62</v>
      </c>
      <c r="L38" s="9">
        <f t="shared" si="11"/>
        <v>502.6026</v>
      </c>
      <c r="M38" s="7">
        <f t="shared" si="12"/>
        <v>93.982599999999991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/>
      <c r="L39" s="9">
        <f t="shared" si="11"/>
        <v>0</v>
      </c>
      <c r="M39" s="7">
        <f t="shared" si="12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11"/>
        <v>0</v>
      </c>
      <c r="M40" s="7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11"/>
        <v>0</v>
      </c>
      <c r="M41" s="7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11"/>
        <v>0</v>
      </c>
      <c r="M42" s="7">
        <f t="shared" si="12"/>
        <v>0</v>
      </c>
      <c r="O42" s="12"/>
      <c r="P42" s="12"/>
      <c r="Q42" s="12"/>
      <c r="R42" s="12"/>
      <c r="S42" s="12"/>
      <c r="T42" s="12"/>
      <c r="U42" s="1"/>
      <c r="V42" s="1"/>
      <c r="W42" s="1"/>
      <c r="X42" s="1"/>
      <c r="Y42" s="1"/>
      <c r="Z42" s="1"/>
      <c r="AA42" s="1"/>
    </row>
    <row r="43" spans="2:27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11"/>
        <v>0</v>
      </c>
      <c r="M43" s="38">
        <f t="shared" si="12"/>
        <v>0</v>
      </c>
      <c r="O43" s="12"/>
      <c r="P43" s="12"/>
      <c r="Q43" s="12"/>
      <c r="R43" s="12"/>
      <c r="S43" s="12"/>
      <c r="T43" s="12"/>
      <c r="U43" s="1"/>
      <c r="V43" s="1"/>
      <c r="W43" s="1"/>
      <c r="X43" s="1"/>
      <c r="Y43" s="1"/>
      <c r="Z43" s="1"/>
      <c r="AA43" s="1"/>
    </row>
    <row r="44" spans="2:27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6214.26</v>
      </c>
      <c r="L44" s="76">
        <f>SUM(L35:L43)</f>
        <v>7643.5398000000005</v>
      </c>
      <c r="M44" s="40">
        <f>SUM(M35:M43)</f>
        <v>1429.2798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>
      <c r="I45" s="1"/>
      <c r="J45" s="1"/>
      <c r="K45" s="1"/>
      <c r="L45" s="1"/>
      <c r="M45" s="1"/>
      <c r="O45" s="101"/>
      <c r="P45" s="101"/>
      <c r="Q45" s="101"/>
      <c r="R45" s="101"/>
      <c r="S45" s="101"/>
      <c r="T45" s="101"/>
    </row>
    <row r="46" spans="2:27" ht="15">
      <c r="I46" s="6" t="s">
        <v>21</v>
      </c>
      <c r="J46" s="6" t="s">
        <v>22</v>
      </c>
      <c r="K46" s="6" t="s">
        <v>23</v>
      </c>
      <c r="L46" s="22" t="s">
        <v>10</v>
      </c>
      <c r="M46" s="12"/>
      <c r="O46" s="101"/>
      <c r="P46" s="117"/>
      <c r="Q46" s="117"/>
      <c r="R46" s="117"/>
      <c r="S46" s="117"/>
      <c r="T46" s="101"/>
    </row>
    <row r="47" spans="2:27">
      <c r="I47" s="6" t="s">
        <v>98</v>
      </c>
      <c r="J47" s="6"/>
      <c r="K47" s="6"/>
      <c r="L47" s="6"/>
      <c r="M47" s="8"/>
      <c r="O47" s="101"/>
      <c r="P47" s="118"/>
      <c r="Q47" s="10"/>
      <c r="R47" s="10"/>
      <c r="S47" s="10"/>
      <c r="T47" s="101"/>
    </row>
    <row r="48" spans="2:27">
      <c r="I48" s="6" t="s">
        <v>24</v>
      </c>
      <c r="J48" s="7">
        <f>K44</f>
        <v>6214.26</v>
      </c>
      <c r="K48" s="7">
        <f>L44</f>
        <v>7643.5398000000005</v>
      </c>
      <c r="L48" s="7">
        <f>M44</f>
        <v>1429.2798</v>
      </c>
      <c r="M48" s="13"/>
      <c r="O48" s="101"/>
      <c r="P48" s="118"/>
      <c r="Q48" s="10"/>
      <c r="R48" s="10"/>
      <c r="S48" s="10"/>
      <c r="T48" s="101"/>
    </row>
    <row r="49" spans="9:20" ht="15">
      <c r="I49" s="64" t="s">
        <v>25</v>
      </c>
      <c r="J49" s="65">
        <f>J47-J48</f>
        <v>-6214.26</v>
      </c>
      <c r="K49" s="116">
        <f>K47-K48</f>
        <v>-7643.5398000000005</v>
      </c>
      <c r="L49" s="65">
        <f>L47-L48</f>
        <v>-1429.2798</v>
      </c>
      <c r="M49" s="65"/>
      <c r="O49" s="10"/>
      <c r="P49" s="118"/>
      <c r="Q49" s="10"/>
      <c r="R49" s="10"/>
      <c r="S49" s="10"/>
      <c r="T49" s="101"/>
    </row>
    <row r="50" spans="9:20">
      <c r="O50" s="101"/>
      <c r="P50" s="119"/>
      <c r="Q50" s="120"/>
      <c r="R50" s="119"/>
      <c r="S50" s="120"/>
      <c r="T50" s="101"/>
    </row>
    <row r="51" spans="9:20">
      <c r="O51" s="101"/>
      <c r="P51" s="101"/>
      <c r="Q51" s="101"/>
      <c r="R51" s="101"/>
      <c r="S51" s="101"/>
      <c r="T51" s="101"/>
    </row>
    <row r="52" spans="9:20">
      <c r="O52" s="101"/>
      <c r="P52" s="101"/>
      <c r="Q52" s="101"/>
      <c r="R52" s="101"/>
      <c r="S52" s="101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</sheetData>
  <mergeCells count="6">
    <mergeCell ref="C26:E26"/>
    <mergeCell ref="S13:V13"/>
    <mergeCell ref="I21:L21"/>
    <mergeCell ref="C23:D23"/>
    <mergeCell ref="C24:D24"/>
    <mergeCell ref="C25:D25"/>
  </mergeCells>
  <pageMargins left="0.7" right="0.7" top="0.75" bottom="0.75" header="0.3" footer="0.3"/>
  <pageSetup paperSize="9" orientation="portrait" horizontalDpi="300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abSelected="1" zoomScaleNormal="100" workbookViewId="0">
      <selection activeCell="A2" sqref="A2"/>
    </sheetView>
  </sheetViews>
  <sheetFormatPr defaultRowHeight="12.75"/>
  <cols>
    <col min="1" max="1" width="11.7109375" style="97" customWidth="1"/>
    <col min="2" max="2" width="25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30" customWidth="1"/>
    <col min="10" max="10" width="14.140625" customWidth="1"/>
    <col min="11" max="11" width="13.42578125" customWidth="1"/>
    <col min="12" max="12" width="12.5703125" bestFit="1" customWidth="1"/>
    <col min="13" max="13" width="12.5703125" customWidth="1"/>
    <col min="14" max="14" width="14" customWidth="1"/>
    <col min="15" max="15" width="16.140625" customWidth="1"/>
    <col min="16" max="16" width="14" customWidth="1"/>
    <col min="17" max="17" width="15.42578125" customWidth="1"/>
    <col min="18" max="18" width="13" customWidth="1"/>
    <col min="19" max="19" width="20" customWidth="1"/>
    <col min="20" max="20" width="9.85546875" customWidth="1"/>
    <col min="21" max="21" width="11.140625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 thickBot="1">
      <c r="A2" s="298" t="s">
        <v>387</v>
      </c>
      <c r="B2" s="299" t="s">
        <v>0</v>
      </c>
      <c r="C2" s="299" t="s">
        <v>9</v>
      </c>
      <c r="D2" s="299" t="s">
        <v>8</v>
      </c>
      <c r="E2" s="300" t="s">
        <v>1</v>
      </c>
      <c r="F2" s="300" t="s">
        <v>2</v>
      </c>
      <c r="G2" s="299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301" t="s">
        <v>188</v>
      </c>
      <c r="B3" s="345" t="s">
        <v>214</v>
      </c>
      <c r="C3" s="302">
        <v>1.1100000000000001</v>
      </c>
      <c r="D3" s="303">
        <v>1</v>
      </c>
      <c r="E3" s="304">
        <f t="shared" ref="E3:E20" si="0">C3*D3</f>
        <v>1.1100000000000001</v>
      </c>
      <c r="F3" s="304">
        <f>E3*1.23</f>
        <v>1.3653000000000002</v>
      </c>
      <c r="G3" s="305">
        <f>F3-E3</f>
        <v>0.25530000000000008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256.47000000000003</v>
      </c>
      <c r="Z3" s="3">
        <f>W13</f>
        <v>39647</v>
      </c>
      <c r="AA3" s="124">
        <f>(Z3-Y3)*0.19</f>
        <v>7484.2006999999994</v>
      </c>
    </row>
    <row r="4" spans="1:27">
      <c r="A4" s="306" t="s">
        <v>188</v>
      </c>
      <c r="B4" s="29" t="s">
        <v>155</v>
      </c>
      <c r="C4" s="21">
        <v>0.42</v>
      </c>
      <c r="D4" s="31">
        <v>2</v>
      </c>
      <c r="E4" s="32">
        <f t="shared" si="0"/>
        <v>0.84</v>
      </c>
      <c r="F4" s="32">
        <f>E4*1.23</f>
        <v>1.0331999999999999</v>
      </c>
      <c r="G4" s="346">
        <f>F4-E4</f>
        <v>0.19319999999999993</v>
      </c>
      <c r="H4" s="3"/>
      <c r="I4" s="128" t="s">
        <v>31</v>
      </c>
      <c r="J4" s="128" t="s">
        <v>194</v>
      </c>
      <c r="K4" s="128" t="s">
        <v>206</v>
      </c>
      <c r="L4" s="128" t="s">
        <v>207</v>
      </c>
      <c r="M4" s="128" t="s">
        <v>208</v>
      </c>
      <c r="N4" s="128" t="s">
        <v>209</v>
      </c>
      <c r="O4" s="128" t="s">
        <v>210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40</v>
      </c>
      <c r="X4" s="8"/>
      <c r="Y4" s="1" t="s">
        <v>6</v>
      </c>
      <c r="Z4" s="1" t="s">
        <v>7</v>
      </c>
      <c r="AA4" s="1" t="s">
        <v>176</v>
      </c>
    </row>
    <row r="5" spans="1:27" ht="13.5" thickBot="1">
      <c r="A5" s="309" t="s">
        <v>212</v>
      </c>
      <c r="B5" s="347" t="s">
        <v>185</v>
      </c>
      <c r="C5" s="310">
        <v>2.29</v>
      </c>
      <c r="D5" s="311">
        <v>5</v>
      </c>
      <c r="E5" s="312">
        <f t="shared" si="0"/>
        <v>11.45</v>
      </c>
      <c r="F5" s="312">
        <f>E5*1.23</f>
        <v>14.083499999999999</v>
      </c>
      <c r="G5" s="313">
        <f>F5-E5</f>
        <v>2.6334999999999997</v>
      </c>
      <c r="H5" s="3"/>
      <c r="I5" s="5" t="s">
        <v>215</v>
      </c>
      <c r="J5" s="7"/>
      <c r="K5" s="7">
        <f>SUM(E3)</f>
        <v>1.1100000000000001</v>
      </c>
      <c r="L5" s="7">
        <f>SUM(E4)</f>
        <v>0.84</v>
      </c>
      <c r="M5" s="7">
        <f>SUM(E5)</f>
        <v>11.45</v>
      </c>
      <c r="N5" s="165" t="s">
        <v>224</v>
      </c>
      <c r="O5" s="166" t="s">
        <v>224</v>
      </c>
      <c r="P5" s="9">
        <f>SUM(N30)</f>
        <v>10</v>
      </c>
      <c r="Q5" s="7">
        <v>10</v>
      </c>
      <c r="R5" s="7">
        <f t="shared" ref="R5:R10" si="1">SUM(K5:Q5)</f>
        <v>33.4</v>
      </c>
      <c r="S5" s="145">
        <f>SUM(R5*T14)</f>
        <v>83.5</v>
      </c>
      <c r="T5" s="9">
        <f>SUM(S5/T15)</f>
        <v>18.15217391304348</v>
      </c>
      <c r="U5" s="151">
        <f t="shared" ref="U5:U12" si="2">(S5-R5)/S5</f>
        <v>0.6</v>
      </c>
      <c r="V5" s="27">
        <f t="shared" ref="V5:V12" si="3">((S5-R5)/R5)</f>
        <v>1.5</v>
      </c>
      <c r="W5" s="7">
        <f t="shared" ref="W5:W12" si="4">S5*$W$4</f>
        <v>3340</v>
      </c>
      <c r="X5" s="8"/>
      <c r="Y5" s="3">
        <f>L46</f>
        <v>315.4581</v>
      </c>
      <c r="Z5" s="3">
        <f>Z3*1.23</f>
        <v>48765.81</v>
      </c>
      <c r="AA5" s="3">
        <f>Z5-Z3</f>
        <v>9118.8099999999977</v>
      </c>
    </row>
    <row r="6" spans="1:27">
      <c r="A6" s="301" t="s">
        <v>213</v>
      </c>
      <c r="B6" s="345" t="s">
        <v>216</v>
      </c>
      <c r="C6" s="302">
        <v>15.22</v>
      </c>
      <c r="D6" s="303">
        <v>1</v>
      </c>
      <c r="E6" s="304">
        <f t="shared" si="0"/>
        <v>15.22</v>
      </c>
      <c r="F6" s="304">
        <f t="shared" ref="F6:F21" si="5">E6*1.23</f>
        <v>18.720600000000001</v>
      </c>
      <c r="G6" s="305">
        <f t="shared" ref="G6:G21" si="6">F6-E6</f>
        <v>3.5006000000000004</v>
      </c>
      <c r="H6" s="3"/>
      <c r="I6" s="5" t="s">
        <v>218</v>
      </c>
      <c r="J6" s="6"/>
      <c r="K6" s="7">
        <f>SUM(E6)</f>
        <v>15.22</v>
      </c>
      <c r="L6" s="7">
        <f>SUM(E7)</f>
        <v>2.62</v>
      </c>
      <c r="M6" s="7">
        <f>SUM(E8)</f>
        <v>4.5199999999999996</v>
      </c>
      <c r="N6" s="7">
        <f>SUM(E9)</f>
        <v>23.700000000000003</v>
      </c>
      <c r="O6" s="166" t="s">
        <v>224</v>
      </c>
      <c r="P6" s="9">
        <f>SUM(N30)</f>
        <v>10</v>
      </c>
      <c r="Q6" s="7">
        <v>20</v>
      </c>
      <c r="R6" s="7">
        <f t="shared" si="1"/>
        <v>76.06</v>
      </c>
      <c r="S6" s="145">
        <f>R6*T14</f>
        <v>190.15</v>
      </c>
      <c r="T6" s="9">
        <f>SUM(S6/T15)</f>
        <v>41.336956521739133</v>
      </c>
      <c r="U6" s="151">
        <f t="shared" si="2"/>
        <v>0.6</v>
      </c>
      <c r="V6" s="27">
        <f t="shared" si="3"/>
        <v>1.5</v>
      </c>
      <c r="W6" s="7">
        <f t="shared" si="4"/>
        <v>7606</v>
      </c>
      <c r="X6" s="8"/>
      <c r="Y6" s="1" t="s">
        <v>11</v>
      </c>
      <c r="Z6" s="1" t="s">
        <v>12</v>
      </c>
      <c r="AA6" s="152" t="s">
        <v>175</v>
      </c>
    </row>
    <row r="7" spans="1:27">
      <c r="A7" s="306" t="s">
        <v>213</v>
      </c>
      <c r="B7" s="29" t="s">
        <v>217</v>
      </c>
      <c r="C7" s="18">
        <v>2.62</v>
      </c>
      <c r="D7" s="6">
        <v>1</v>
      </c>
      <c r="E7" s="7">
        <f t="shared" si="0"/>
        <v>2.62</v>
      </c>
      <c r="F7" s="7">
        <f t="shared" si="5"/>
        <v>3.2225999999999999</v>
      </c>
      <c r="G7" s="308">
        <f t="shared" si="6"/>
        <v>0.6025999999999998</v>
      </c>
      <c r="H7" s="3"/>
      <c r="I7" s="5" t="s">
        <v>219</v>
      </c>
      <c r="J7" s="6"/>
      <c r="K7" s="7">
        <f>SUM(E10)</f>
        <v>15.22</v>
      </c>
      <c r="L7" s="7">
        <f>SUM(E11)</f>
        <v>2.62</v>
      </c>
      <c r="M7" s="7">
        <f>SUM(E12)</f>
        <v>3.3899999999999997</v>
      </c>
      <c r="N7" s="7">
        <f>SUM(E13)</f>
        <v>23.700000000000003</v>
      </c>
      <c r="O7" s="166" t="s">
        <v>224</v>
      </c>
      <c r="P7" s="9">
        <f>SUM(N30)</f>
        <v>10</v>
      </c>
      <c r="Q7" s="7">
        <v>20</v>
      </c>
      <c r="R7" s="7">
        <f t="shared" si="1"/>
        <v>74.930000000000007</v>
      </c>
      <c r="S7" s="145">
        <f>R7*T14</f>
        <v>187.32500000000002</v>
      </c>
      <c r="T7" s="9">
        <f>SUM(S7/T15)</f>
        <v>40.72282608695653</v>
      </c>
      <c r="U7" s="151">
        <f t="shared" si="2"/>
        <v>0.6</v>
      </c>
      <c r="V7" s="27">
        <f t="shared" si="3"/>
        <v>1.5</v>
      </c>
      <c r="W7" s="7">
        <f t="shared" si="4"/>
        <v>7493.0000000000009</v>
      </c>
      <c r="X7" s="8"/>
      <c r="Y7" s="3">
        <f>M46</f>
        <v>58.988099999999974</v>
      </c>
      <c r="Z7" s="3">
        <f>AA5</f>
        <v>9118.8099999999977</v>
      </c>
      <c r="AA7" s="124">
        <f>Z7-Y7</f>
        <v>9059.8218999999972</v>
      </c>
    </row>
    <row r="8" spans="1:27">
      <c r="A8" s="306" t="s">
        <v>213</v>
      </c>
      <c r="B8" s="94" t="s">
        <v>155</v>
      </c>
      <c r="C8" s="18">
        <v>1.1299999999999999</v>
      </c>
      <c r="D8" s="6">
        <v>4</v>
      </c>
      <c r="E8" s="7">
        <f t="shared" si="0"/>
        <v>4.5199999999999996</v>
      </c>
      <c r="F8" s="7">
        <f>E8*1.23</f>
        <v>5.5595999999999997</v>
      </c>
      <c r="G8" s="308">
        <f>F8-E8</f>
        <v>1.0396000000000001</v>
      </c>
      <c r="H8" s="3"/>
      <c r="I8" s="5" t="s">
        <v>220</v>
      </c>
      <c r="J8" s="6"/>
      <c r="K8" s="7">
        <f>SUM(E14)</f>
        <v>14.23</v>
      </c>
      <c r="L8" s="7">
        <f>SUM(E15)</f>
        <v>3.16</v>
      </c>
      <c r="M8" s="7">
        <f>SUM(E16)</f>
        <v>11.299999999999999</v>
      </c>
      <c r="N8" s="7">
        <f>SUM(E17)</f>
        <v>47.35</v>
      </c>
      <c r="O8" s="166" t="s">
        <v>224</v>
      </c>
      <c r="P8" s="9">
        <f>SUM(N30)</f>
        <v>10</v>
      </c>
      <c r="Q8" s="7">
        <v>20</v>
      </c>
      <c r="R8" s="7">
        <f t="shared" si="1"/>
        <v>106.03999999999999</v>
      </c>
      <c r="S8" s="145">
        <f>R8*T14</f>
        <v>265.09999999999997</v>
      </c>
      <c r="T8" s="9">
        <f>SUM(S8/T15)</f>
        <v>57.630434782608695</v>
      </c>
      <c r="U8" s="151">
        <f t="shared" si="2"/>
        <v>0.6</v>
      </c>
      <c r="V8" s="27">
        <f t="shared" si="3"/>
        <v>1.4999999999999998</v>
      </c>
      <c r="W8" s="7">
        <f t="shared" si="4"/>
        <v>10603.999999999998</v>
      </c>
      <c r="X8" s="8"/>
      <c r="Y8" s="1"/>
      <c r="Z8" s="1"/>
      <c r="AA8" s="1"/>
    </row>
    <row r="9" spans="1:27" ht="14.25" customHeight="1" thickBot="1">
      <c r="A9" s="309" t="s">
        <v>212</v>
      </c>
      <c r="B9" s="347" t="s">
        <v>185</v>
      </c>
      <c r="C9" s="310">
        <v>4.74</v>
      </c>
      <c r="D9" s="311">
        <v>5</v>
      </c>
      <c r="E9" s="348">
        <f t="shared" si="0"/>
        <v>23.700000000000003</v>
      </c>
      <c r="F9" s="348">
        <f>E9*1.23</f>
        <v>29.151000000000003</v>
      </c>
      <c r="G9" s="349">
        <f>F9-E9</f>
        <v>5.4510000000000005</v>
      </c>
      <c r="H9" s="3"/>
      <c r="I9" s="5" t="s">
        <v>221</v>
      </c>
      <c r="J9" s="6"/>
      <c r="K9" s="7">
        <f>SUM(E18)</f>
        <v>14.23</v>
      </c>
      <c r="L9" s="7">
        <f>SUM(E19)</f>
        <v>3.16</v>
      </c>
      <c r="M9" s="7">
        <f>SUM(E20)</f>
        <v>11.299999999999999</v>
      </c>
      <c r="N9" s="7">
        <f>SUM(E21)</f>
        <v>47.35</v>
      </c>
      <c r="O9" s="166" t="s">
        <v>224</v>
      </c>
      <c r="P9" s="9">
        <f>SUM(N30)</f>
        <v>10</v>
      </c>
      <c r="Q9" s="7">
        <v>20</v>
      </c>
      <c r="R9" s="7">
        <f t="shared" si="1"/>
        <v>106.03999999999999</v>
      </c>
      <c r="S9" s="145">
        <f>R9*T14</f>
        <v>265.09999999999997</v>
      </c>
      <c r="T9" s="9">
        <f>SUM(S9/T15)</f>
        <v>57.630434782608695</v>
      </c>
      <c r="U9" s="151">
        <f t="shared" si="2"/>
        <v>0.6</v>
      </c>
      <c r="V9" s="27">
        <f t="shared" si="3"/>
        <v>1.4999999999999998</v>
      </c>
      <c r="W9" s="7">
        <f t="shared" si="4"/>
        <v>10603.999999999998</v>
      </c>
      <c r="X9" s="1"/>
      <c r="Y9" s="1"/>
      <c r="Z9" s="1" t="s">
        <v>20</v>
      </c>
      <c r="AA9" s="2" t="s">
        <v>13</v>
      </c>
    </row>
    <row r="10" spans="1:27" ht="15" customHeight="1">
      <c r="A10" s="301" t="s">
        <v>213</v>
      </c>
      <c r="B10" s="345" t="s">
        <v>216</v>
      </c>
      <c r="C10" s="302">
        <v>15.22</v>
      </c>
      <c r="D10" s="303">
        <v>1</v>
      </c>
      <c r="E10" s="304">
        <f t="shared" si="0"/>
        <v>15.22</v>
      </c>
      <c r="F10" s="304">
        <f t="shared" si="5"/>
        <v>18.720600000000001</v>
      </c>
      <c r="G10" s="305">
        <f t="shared" si="6"/>
        <v>3.5006000000000004</v>
      </c>
      <c r="H10" s="3"/>
      <c r="I10" s="5" t="s">
        <v>31</v>
      </c>
      <c r="J10" s="6"/>
      <c r="K10" s="7"/>
      <c r="L10" s="7"/>
      <c r="M10" s="7"/>
      <c r="N10" s="7"/>
      <c r="O10" s="166"/>
      <c r="P10" s="9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48450.351899999994</v>
      </c>
      <c r="AA10" s="90">
        <f>AA3+AA7</f>
        <v>16544.022599999997</v>
      </c>
    </row>
    <row r="11" spans="1:27" ht="15.75" customHeight="1">
      <c r="A11" s="306" t="s">
        <v>213</v>
      </c>
      <c r="B11" s="29" t="s">
        <v>217</v>
      </c>
      <c r="C11" s="18">
        <v>2.62</v>
      </c>
      <c r="D11" s="6">
        <v>1</v>
      </c>
      <c r="E11" s="7">
        <f t="shared" si="0"/>
        <v>2.62</v>
      </c>
      <c r="F11" s="7">
        <f t="shared" si="5"/>
        <v>3.2225999999999999</v>
      </c>
      <c r="G11" s="308">
        <f t="shared" si="6"/>
        <v>0.6025999999999998</v>
      </c>
      <c r="H11" s="3"/>
      <c r="I11" s="5" t="s">
        <v>31</v>
      </c>
      <c r="J11" s="6"/>
      <c r="K11" s="7"/>
      <c r="L11" s="7"/>
      <c r="M11" s="7"/>
      <c r="N11" s="7"/>
      <c r="O11" s="16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306" t="s">
        <v>213</v>
      </c>
      <c r="B12" s="94" t="s">
        <v>155</v>
      </c>
      <c r="C12" s="18">
        <v>1.1299999999999999</v>
      </c>
      <c r="D12" s="6">
        <v>3</v>
      </c>
      <c r="E12" s="7">
        <f t="shared" si="0"/>
        <v>3.3899999999999997</v>
      </c>
      <c r="F12" s="7">
        <f t="shared" si="5"/>
        <v>4.1696999999999997</v>
      </c>
      <c r="G12" s="308">
        <f t="shared" si="6"/>
        <v>0.77970000000000006</v>
      </c>
      <c r="H12" s="3"/>
      <c r="I12" s="5" t="s">
        <v>31</v>
      </c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 ht="13.5" thickBot="1">
      <c r="A13" s="309" t="s">
        <v>212</v>
      </c>
      <c r="B13" s="347" t="s">
        <v>185</v>
      </c>
      <c r="C13" s="310">
        <v>4.74</v>
      </c>
      <c r="D13" s="311">
        <v>5</v>
      </c>
      <c r="E13" s="312">
        <f t="shared" si="0"/>
        <v>23.700000000000003</v>
      </c>
      <c r="F13" s="312">
        <f t="shared" si="5"/>
        <v>29.151000000000003</v>
      </c>
      <c r="G13" s="313">
        <f t="shared" si="6"/>
        <v>5.4510000000000005</v>
      </c>
      <c r="H13" s="3"/>
      <c r="Q13" s="10"/>
      <c r="R13" s="26">
        <f>SUM(R5:R12)</f>
        <v>396.47</v>
      </c>
      <c r="T13" s="1"/>
      <c r="V13" s="1" t="s">
        <v>96</v>
      </c>
      <c r="W13" s="72">
        <f>SUM(W5:W12)</f>
        <v>39647</v>
      </c>
      <c r="X13" s="1"/>
      <c r="Y13" s="1"/>
      <c r="Z13" s="122">
        <f>Z10-AA10</f>
        <v>31906.329299999998</v>
      </c>
      <c r="AA13" s="123"/>
    </row>
    <row r="14" spans="1:27" ht="15">
      <c r="A14" s="301" t="s">
        <v>213</v>
      </c>
      <c r="B14" s="345" t="s">
        <v>222</v>
      </c>
      <c r="C14" s="302">
        <v>14.23</v>
      </c>
      <c r="D14" s="302">
        <v>1</v>
      </c>
      <c r="E14" s="304">
        <f>C14*D14</f>
        <v>14.23</v>
      </c>
      <c r="F14" s="304">
        <f t="shared" si="5"/>
        <v>17.5029</v>
      </c>
      <c r="G14" s="305">
        <f t="shared" si="6"/>
        <v>3.2728999999999999</v>
      </c>
      <c r="H14" s="1"/>
      <c r="Q14" s="10"/>
      <c r="S14" s="157" t="s">
        <v>191</v>
      </c>
      <c r="T14" s="156">
        <v>2.5</v>
      </c>
      <c r="U14" s="156"/>
      <c r="V14" s="156"/>
      <c r="W14" s="72">
        <f>SUM(W13*1.23)</f>
        <v>48765.81</v>
      </c>
      <c r="X14" s="1"/>
      <c r="Y14" s="161"/>
      <c r="Z14" s="162"/>
      <c r="AA14" s="3">
        <f>Z13/50</f>
        <v>638.12658599999997</v>
      </c>
    </row>
    <row r="15" spans="1:27" ht="12.75" customHeight="1">
      <c r="A15" s="306" t="s">
        <v>213</v>
      </c>
      <c r="B15" s="29" t="s">
        <v>223</v>
      </c>
      <c r="C15" s="18">
        <v>3.16</v>
      </c>
      <c r="D15" s="18">
        <v>1</v>
      </c>
      <c r="E15" s="7">
        <f t="shared" si="0"/>
        <v>3.16</v>
      </c>
      <c r="F15" s="7">
        <f t="shared" si="5"/>
        <v>3.8868</v>
      </c>
      <c r="G15" s="308">
        <f t="shared" si="6"/>
        <v>0.72679999999999989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161"/>
      <c r="Z15" s="12"/>
      <c r="AA15" s="1"/>
    </row>
    <row r="16" spans="1:27" ht="15.75" thickBot="1">
      <c r="A16" s="306" t="s">
        <v>213</v>
      </c>
      <c r="B16" s="94" t="s">
        <v>155</v>
      </c>
      <c r="C16" s="21">
        <v>1.1299999999999999</v>
      </c>
      <c r="D16" s="21">
        <v>10</v>
      </c>
      <c r="E16" s="7">
        <f t="shared" si="0"/>
        <v>11.299999999999999</v>
      </c>
      <c r="F16" s="7">
        <f t="shared" si="5"/>
        <v>13.898999999999999</v>
      </c>
      <c r="G16" s="308">
        <f t="shared" si="6"/>
        <v>2.5990000000000002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205</v>
      </c>
      <c r="Z16" s="146">
        <f>Z13</f>
        <v>31906.329299999998</v>
      </c>
      <c r="AA16" s="1"/>
    </row>
    <row r="17" spans="1:27" ht="13.5" thickBot="1">
      <c r="A17" s="309" t="s">
        <v>212</v>
      </c>
      <c r="B17" s="347" t="s">
        <v>185</v>
      </c>
      <c r="C17" s="310">
        <v>9.4700000000000006</v>
      </c>
      <c r="D17" s="310">
        <v>5</v>
      </c>
      <c r="E17" s="312">
        <f>C17*D17</f>
        <v>47.35</v>
      </c>
      <c r="F17" s="312">
        <f t="shared" si="5"/>
        <v>58.240500000000004</v>
      </c>
      <c r="G17" s="350">
        <f t="shared" si="6"/>
        <v>10.890500000000003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7"/>
      <c r="Z17" s="1"/>
      <c r="AA17" s="1"/>
    </row>
    <row r="18" spans="1:27" ht="15">
      <c r="A18" s="301" t="s">
        <v>213</v>
      </c>
      <c r="B18" s="345" t="s">
        <v>222</v>
      </c>
      <c r="C18" s="302">
        <v>14.23</v>
      </c>
      <c r="D18" s="302">
        <v>1</v>
      </c>
      <c r="E18" s="304">
        <f t="shared" si="0"/>
        <v>14.23</v>
      </c>
      <c r="F18" s="304">
        <f t="shared" si="5"/>
        <v>17.5029</v>
      </c>
      <c r="G18" s="352">
        <f t="shared" si="6"/>
        <v>3.2728999999999999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161"/>
      <c r="Z18" s="162"/>
      <c r="AA18" s="1"/>
    </row>
    <row r="19" spans="1:27" ht="13.5" customHeight="1">
      <c r="A19" s="306" t="s">
        <v>213</v>
      </c>
      <c r="B19" s="29" t="s">
        <v>223</v>
      </c>
      <c r="C19" s="21">
        <v>3.16</v>
      </c>
      <c r="D19" s="21">
        <v>1</v>
      </c>
      <c r="E19" s="7">
        <f t="shared" si="0"/>
        <v>3.16</v>
      </c>
      <c r="F19" s="7">
        <f t="shared" si="5"/>
        <v>3.8868</v>
      </c>
      <c r="G19" s="353">
        <f t="shared" si="6"/>
        <v>0.72679999999999989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161"/>
      <c r="Z19" s="12"/>
      <c r="AA19" s="1"/>
    </row>
    <row r="20" spans="1:27">
      <c r="A20" s="306" t="s">
        <v>213</v>
      </c>
      <c r="B20" s="94" t="s">
        <v>155</v>
      </c>
      <c r="C20" s="18">
        <v>1.1299999999999999</v>
      </c>
      <c r="D20" s="18">
        <v>10</v>
      </c>
      <c r="E20" s="7">
        <f t="shared" si="0"/>
        <v>11.299999999999999</v>
      </c>
      <c r="F20" s="7">
        <f t="shared" si="5"/>
        <v>13.898999999999999</v>
      </c>
      <c r="G20" s="353">
        <f t="shared" si="6"/>
        <v>2.5990000000000002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thickBot="1">
      <c r="A21" s="309" t="s">
        <v>212</v>
      </c>
      <c r="B21" s="347" t="s">
        <v>185</v>
      </c>
      <c r="C21" s="311">
        <v>9.4700000000000006</v>
      </c>
      <c r="D21" s="311">
        <v>5</v>
      </c>
      <c r="E21" s="312">
        <f>C21*D21</f>
        <v>47.35</v>
      </c>
      <c r="F21" s="312">
        <f t="shared" si="5"/>
        <v>58.240500000000004</v>
      </c>
      <c r="G21" s="354">
        <f t="shared" si="6"/>
        <v>10.890500000000003</v>
      </c>
      <c r="H21" s="1"/>
      <c r="I21" s="1"/>
      <c r="J21" s="1"/>
      <c r="K21" s="1"/>
      <c r="L21" s="1"/>
      <c r="M21" s="1"/>
      <c r="N21" s="1"/>
      <c r="R21" s="1"/>
      <c r="S21" s="160"/>
      <c r="T21" s="160"/>
      <c r="U21" s="159"/>
      <c r="V21" s="1"/>
      <c r="W21" s="1"/>
      <c r="X21" s="1"/>
      <c r="Y21" s="1"/>
      <c r="Z21" s="1"/>
      <c r="AA21" s="1"/>
    </row>
    <row r="22" spans="1:27" ht="14.25">
      <c r="A22" s="351"/>
      <c r="B22" s="344" t="s">
        <v>18</v>
      </c>
      <c r="C22" s="344"/>
      <c r="D22" s="344"/>
      <c r="E22" s="43">
        <f>SUM(E3:E21)</f>
        <v>256.47000000000003</v>
      </c>
      <c r="F22" s="43">
        <f>SUM(F3:F21)</f>
        <v>315.4581</v>
      </c>
      <c r="G22" s="43">
        <f>SUM(G3:G21)</f>
        <v>58.988100000000003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60"/>
      <c r="T22" s="160"/>
      <c r="U22" s="159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  <c r="S25" s="1"/>
    </row>
    <row r="26" spans="1:27">
      <c r="A26" s="98"/>
      <c r="B26" s="33"/>
      <c r="C26" s="105"/>
      <c r="D26" s="105"/>
      <c r="E26" s="104"/>
      <c r="F26" s="102"/>
      <c r="G26" s="104"/>
      <c r="H26" s="1"/>
      <c r="I26" s="6" t="s">
        <v>174</v>
      </c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3</v>
      </c>
      <c r="K27" s="7">
        <f t="shared" si="10"/>
        <v>3.69</v>
      </c>
      <c r="L27" s="7">
        <f t="shared" si="11"/>
        <v>0.69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90</v>
      </c>
      <c r="J28" s="7">
        <v>0</v>
      </c>
      <c r="K28" s="7">
        <f>J28*1.23</f>
        <v>0</v>
      </c>
      <c r="L28" s="7">
        <f t="shared" si="11"/>
        <v>0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211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 t="s">
        <v>225</v>
      </c>
      <c r="J30" s="7">
        <v>2</v>
      </c>
      <c r="K30" s="7">
        <f t="shared" si="10"/>
        <v>2.46</v>
      </c>
      <c r="L30" s="7">
        <f t="shared" si="11"/>
        <v>0.45999999999999996</v>
      </c>
      <c r="M30" s="13"/>
      <c r="N30" s="55">
        <f>SUM(J24:J32)</f>
        <v>10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/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202</v>
      </c>
      <c r="J32" s="7">
        <v>0</v>
      </c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391</v>
      </c>
      <c r="J37" s="41">
        <v>1</v>
      </c>
      <c r="K37" s="42">
        <v>0</v>
      </c>
      <c r="L37" s="42">
        <f>K37*1.23</f>
        <v>0</v>
      </c>
      <c r="M37" s="43">
        <f t="shared" ref="M37:M45" si="12">L37-K37</f>
        <v>0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391</v>
      </c>
      <c r="J38" s="18">
        <v>2</v>
      </c>
      <c r="K38" s="9">
        <v>0</v>
      </c>
      <c r="L38" s="42">
        <f t="shared" ref="L38:L45" si="13">K38*1.23</f>
        <v>0</v>
      </c>
      <c r="M38" s="43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 t="s">
        <v>203</v>
      </c>
      <c r="J39" s="18"/>
      <c r="K39" s="9">
        <f>SUM(E22)</f>
        <v>256.47000000000003</v>
      </c>
      <c r="L39" s="42">
        <f t="shared" si="13"/>
        <v>315.4581</v>
      </c>
      <c r="M39" s="43">
        <f t="shared" si="12"/>
        <v>58.988099999999974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42">
        <f t="shared" si="13"/>
        <v>0</v>
      </c>
      <c r="M40" s="43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42">
        <f t="shared" si="13"/>
        <v>0</v>
      </c>
      <c r="M41" s="43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42">
        <f t="shared" si="13"/>
        <v>0</v>
      </c>
      <c r="M42" s="43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42">
        <f t="shared" si="13"/>
        <v>0</v>
      </c>
      <c r="M43" s="43">
        <f t="shared" si="12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42">
        <f t="shared" si="13"/>
        <v>0</v>
      </c>
      <c r="M44" s="43">
        <f t="shared" si="12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42">
        <f t="shared" si="13"/>
        <v>0</v>
      </c>
      <c r="M45" s="43">
        <f t="shared" si="12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256.47000000000003</v>
      </c>
      <c r="L46" s="76">
        <f>SUM(L37:L45)</f>
        <v>315.4581</v>
      </c>
      <c r="M46" s="40">
        <f>SUM(M37:M45)</f>
        <v>58.988099999999974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388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256.47000000000003</v>
      </c>
      <c r="K50" s="7">
        <f>L46</f>
        <v>315.4581</v>
      </c>
      <c r="L50" s="7">
        <f>M46</f>
        <v>58.988099999999974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-256.47000000000003</v>
      </c>
      <c r="K51" s="149">
        <f>K49-K50</f>
        <v>-315.4581</v>
      </c>
      <c r="L51" s="150">
        <f>L49-L50</f>
        <v>-58.988099999999974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3">
    <mergeCell ref="I22:L22"/>
    <mergeCell ref="Y16:Y17"/>
    <mergeCell ref="Y1:AA1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2"/>
  <sheetViews>
    <sheetView topLeftCell="Q1" zoomScaleNormal="100" workbookViewId="0">
      <selection activeCell="AF18" sqref="AF18:AF19"/>
    </sheetView>
  </sheetViews>
  <sheetFormatPr defaultRowHeight="12.75"/>
  <cols>
    <col min="1" max="1" width="11.28515625" style="282" customWidth="1"/>
    <col min="2" max="2" width="15.42578125" style="332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style="26" customWidth="1"/>
    <col min="8" max="8" width="12.5703125" customWidth="1"/>
    <col min="9" max="9" width="30" customWidth="1"/>
    <col min="10" max="10" width="12.85546875" customWidth="1"/>
    <col min="11" max="11" width="12.7109375" customWidth="1"/>
    <col min="12" max="12" width="12.85546875" customWidth="1"/>
    <col min="13" max="13" width="13.140625" customWidth="1"/>
    <col min="14" max="14" width="12.7109375" customWidth="1"/>
    <col min="15" max="15" width="13.28515625" customWidth="1"/>
    <col min="16" max="16" width="12.28515625" customWidth="1"/>
    <col min="17" max="17" width="12.7109375" customWidth="1"/>
    <col min="18" max="22" width="13.28515625" customWidth="1"/>
    <col min="23" max="23" width="15" customWidth="1"/>
    <col min="24" max="24" width="12.140625" customWidth="1"/>
    <col min="25" max="25" width="13" customWidth="1"/>
    <col min="26" max="26" width="21.5703125" customWidth="1"/>
    <col min="27" max="27" width="9.85546875" customWidth="1"/>
    <col min="28" max="28" width="11.140625" customWidth="1"/>
    <col min="29" max="29" width="10.5703125" customWidth="1"/>
    <col min="30" max="30" width="11.5703125" customWidth="1"/>
    <col min="32" max="32" width="18" bestFit="1" customWidth="1"/>
    <col min="33" max="33" width="22.28515625" bestFit="1" customWidth="1"/>
    <col min="34" max="34" width="22.42578125" customWidth="1"/>
    <col min="35" max="35" width="17.28515625" bestFit="1" customWidth="1"/>
    <col min="36" max="36" width="14.5703125" bestFit="1" customWidth="1"/>
  </cols>
  <sheetData>
    <row r="1" spans="1:34" ht="14.25" customHeight="1" thickBot="1">
      <c r="A1" s="298" t="s">
        <v>387</v>
      </c>
      <c r="B1" s="322" t="s">
        <v>0</v>
      </c>
      <c r="C1" s="299" t="s">
        <v>9</v>
      </c>
      <c r="D1" s="299" t="s">
        <v>8</v>
      </c>
      <c r="E1" s="300" t="s">
        <v>1</v>
      </c>
      <c r="F1" s="300" t="s">
        <v>2</v>
      </c>
      <c r="G1" s="30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52"/>
      <c r="Z1" s="152"/>
      <c r="AA1" s="45"/>
      <c r="AB1" s="1"/>
      <c r="AC1" s="1"/>
      <c r="AD1" s="1"/>
      <c r="AE1" s="1"/>
      <c r="AF1" s="1" t="s">
        <v>3</v>
      </c>
      <c r="AG1" s="1" t="s">
        <v>4</v>
      </c>
      <c r="AH1" s="152" t="s">
        <v>177</v>
      </c>
    </row>
    <row r="2" spans="1:34">
      <c r="A2" s="301" t="s">
        <v>213</v>
      </c>
      <c r="B2" s="323" t="s">
        <v>353</v>
      </c>
      <c r="C2" s="302">
        <v>43.95</v>
      </c>
      <c r="D2" s="303">
        <v>1</v>
      </c>
      <c r="E2" s="304">
        <f t="shared" ref="E2:E22" si="0">C2*D2</f>
        <v>43.95</v>
      </c>
      <c r="F2" s="304">
        <f>E2*1.23</f>
        <v>54.058500000000002</v>
      </c>
      <c r="G2" s="305">
        <f>F2-E2</f>
        <v>10.108499999999999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3"/>
      <c r="Z2" s="254" t="s">
        <v>200</v>
      </c>
      <c r="AA2" s="45"/>
      <c r="AB2" s="1"/>
      <c r="AC2" s="1"/>
      <c r="AE2" s="1"/>
      <c r="AF2" s="3">
        <f>K48</f>
        <v>0</v>
      </c>
      <c r="AG2" s="3">
        <f>AD15</f>
        <v>5155</v>
      </c>
      <c r="AH2" s="124">
        <f>(AG2-AF2)*0.19</f>
        <v>979.45</v>
      </c>
    </row>
    <row r="3" spans="1:34">
      <c r="A3" s="306" t="s">
        <v>213</v>
      </c>
      <c r="B3" s="324" t="s">
        <v>354</v>
      </c>
      <c r="C3" s="255">
        <v>2.4300000000000002</v>
      </c>
      <c r="D3" s="256">
        <v>5</v>
      </c>
      <c r="E3" s="257">
        <f t="shared" si="0"/>
        <v>12.15</v>
      </c>
      <c r="F3" s="257">
        <f>E3*1.23</f>
        <v>14.9445</v>
      </c>
      <c r="G3" s="307">
        <f>F3-E3</f>
        <v>2.7944999999999993</v>
      </c>
      <c r="H3" s="3"/>
      <c r="I3" s="128" t="s">
        <v>31</v>
      </c>
      <c r="J3" s="128" t="s">
        <v>206</v>
      </c>
      <c r="K3" s="128" t="s">
        <v>207</v>
      </c>
      <c r="L3" s="128" t="s">
        <v>208</v>
      </c>
      <c r="M3" s="128" t="s">
        <v>209</v>
      </c>
      <c r="N3" s="128" t="s">
        <v>210</v>
      </c>
      <c r="O3" s="128" t="s">
        <v>343</v>
      </c>
      <c r="P3" s="128" t="s">
        <v>344</v>
      </c>
      <c r="Q3" s="128" t="s">
        <v>345</v>
      </c>
      <c r="R3" s="128" t="s">
        <v>347</v>
      </c>
      <c r="S3" s="128" t="s">
        <v>346</v>
      </c>
      <c r="T3" s="128" t="s">
        <v>350</v>
      </c>
      <c r="U3" s="128" t="s">
        <v>349</v>
      </c>
      <c r="V3" s="128" t="s">
        <v>348</v>
      </c>
      <c r="W3" s="128" t="s">
        <v>62</v>
      </c>
      <c r="X3" s="128" t="s">
        <v>27</v>
      </c>
      <c r="Y3" s="130" t="s">
        <v>86</v>
      </c>
      <c r="Z3" s="133" t="s">
        <v>201</v>
      </c>
      <c r="AA3" s="131" t="s">
        <v>94</v>
      </c>
      <c r="AB3" s="129" t="s">
        <v>28</v>
      </c>
      <c r="AC3" s="129" t="s">
        <v>37</v>
      </c>
      <c r="AD3" s="129" t="s">
        <v>332</v>
      </c>
      <c r="AE3" s="128" t="s">
        <v>100</v>
      </c>
      <c r="AF3" s="1" t="s">
        <v>6</v>
      </c>
      <c r="AG3" s="1" t="s">
        <v>7</v>
      </c>
      <c r="AH3" s="1" t="s">
        <v>176</v>
      </c>
    </row>
    <row r="4" spans="1:34">
      <c r="A4" s="341" t="s">
        <v>213</v>
      </c>
      <c r="B4" s="325" t="s">
        <v>355</v>
      </c>
      <c r="C4" s="18">
        <v>3.28</v>
      </c>
      <c r="D4" s="6">
        <v>1</v>
      </c>
      <c r="E4" s="7">
        <f t="shared" si="0"/>
        <v>3.28</v>
      </c>
      <c r="F4" s="7">
        <f>E4*1.23</f>
        <v>4.0343999999999998</v>
      </c>
      <c r="G4" s="308">
        <f>F4-E4</f>
        <v>0.75439999999999996</v>
      </c>
      <c r="H4" s="3"/>
      <c r="I4" s="6" t="s">
        <v>352</v>
      </c>
      <c r="J4" s="7">
        <f>SUM(E2)</f>
        <v>43.95</v>
      </c>
      <c r="K4" s="7">
        <f>SUM(E3)</f>
        <v>12.15</v>
      </c>
      <c r="L4" s="7">
        <f>SUM(E4)</f>
        <v>3.28</v>
      </c>
      <c r="M4" s="7">
        <f>SUM(E5)</f>
        <v>13.200000000000001</v>
      </c>
      <c r="N4" s="7">
        <f>SUM(E6)</f>
        <v>39.93</v>
      </c>
      <c r="O4" s="7">
        <f>SUM(E7)</f>
        <v>15.99</v>
      </c>
      <c r="P4" s="7">
        <f>SUM(E8)</f>
        <v>0</v>
      </c>
      <c r="Q4" s="7">
        <f>SUM(E9)</f>
        <v>0</v>
      </c>
      <c r="R4" s="7">
        <f>SUM(E10)</f>
        <v>0</v>
      </c>
      <c r="S4" s="7">
        <f>SUM(E11)</f>
        <v>0</v>
      </c>
      <c r="T4" s="7">
        <f>SUM(E12)</f>
        <v>0</v>
      </c>
      <c r="U4" s="7">
        <f>SUM(E13)</f>
        <v>0</v>
      </c>
      <c r="V4" s="7">
        <f>SUM(E14)</f>
        <v>0</v>
      </c>
      <c r="W4" s="9">
        <f>SUM(N32)</f>
        <v>37</v>
      </c>
      <c r="X4" s="7">
        <v>30</v>
      </c>
      <c r="Y4" s="7">
        <f t="shared" ref="Y4:Y11" si="1">SUM(J4:X4)</f>
        <v>195.5</v>
      </c>
      <c r="Z4" s="319">
        <f>SUM(Y4*AA16)</f>
        <v>391</v>
      </c>
      <c r="AA4" s="9">
        <f>SUM(Z4/AA17)</f>
        <v>85</v>
      </c>
      <c r="AB4" s="151">
        <f t="shared" ref="AB4:AB11" si="2">(Z4-Y4)/Z4</f>
        <v>0.5</v>
      </c>
      <c r="AC4" s="27">
        <f t="shared" ref="AC4:AC11" si="3">((Z4-Y4)/Y4)</f>
        <v>1</v>
      </c>
      <c r="AD4" s="7">
        <f>Z4*$AE$4</f>
        <v>391</v>
      </c>
      <c r="AE4" s="128">
        <v>1</v>
      </c>
      <c r="AF4" s="3">
        <f>L48</f>
        <v>0</v>
      </c>
      <c r="AG4" s="3">
        <f>AG2*1.23</f>
        <v>6340.65</v>
      </c>
      <c r="AH4" s="3">
        <f>AG4-AG2</f>
        <v>1185.6499999999996</v>
      </c>
    </row>
    <row r="5" spans="1:34">
      <c r="A5" s="306" t="s">
        <v>213</v>
      </c>
      <c r="B5" s="324" t="s">
        <v>356</v>
      </c>
      <c r="C5" s="18">
        <v>2.64</v>
      </c>
      <c r="D5" s="6">
        <v>5</v>
      </c>
      <c r="E5" s="7">
        <f t="shared" si="0"/>
        <v>13.200000000000001</v>
      </c>
      <c r="F5" s="7">
        <f t="shared" ref="F5:F23" si="4">E5*1.23</f>
        <v>16.236000000000001</v>
      </c>
      <c r="G5" s="308">
        <f t="shared" ref="G5:G23" si="5">F5-E5</f>
        <v>3.0359999999999996</v>
      </c>
      <c r="H5" s="3"/>
      <c r="I5" s="6" t="s">
        <v>360</v>
      </c>
      <c r="J5" s="343">
        <f>SUM(E15)</f>
        <v>43.94</v>
      </c>
      <c r="K5" s="343">
        <f>SUM(E16)</f>
        <v>12.15</v>
      </c>
      <c r="L5" s="343">
        <f>SUM(E17)</f>
        <v>2.75</v>
      </c>
      <c r="M5" s="343">
        <f>SUM(E18)</f>
        <v>5.9499999999999993</v>
      </c>
      <c r="N5" s="343">
        <f>SUM(E19)</f>
        <v>212.96</v>
      </c>
      <c r="O5" s="343">
        <f>SUM(E20)</f>
        <v>15.99</v>
      </c>
      <c r="P5" s="343">
        <f>SUM(E21)</f>
        <v>0</v>
      </c>
      <c r="Q5" s="343">
        <f>SUM(E22)</f>
        <v>0</v>
      </c>
      <c r="R5" s="343">
        <f>SUM(E23)</f>
        <v>0</v>
      </c>
      <c r="S5" s="343">
        <f>SUM(E24)</f>
        <v>0</v>
      </c>
      <c r="T5" s="343">
        <v>0</v>
      </c>
      <c r="U5" s="343">
        <v>0</v>
      </c>
      <c r="V5" s="343">
        <v>0</v>
      </c>
      <c r="W5" s="9">
        <f>SUM(N32)</f>
        <v>37</v>
      </c>
      <c r="X5" s="7">
        <v>30</v>
      </c>
      <c r="Y5" s="7">
        <f t="shared" si="1"/>
        <v>360.74</v>
      </c>
      <c r="Z5" s="319">
        <f>SUM(Y5*AA16)</f>
        <v>721.48</v>
      </c>
      <c r="AA5" s="9">
        <f>SUM(Z5/AA17)</f>
        <v>156.84347826086957</v>
      </c>
      <c r="AB5" s="151">
        <f t="shared" si="2"/>
        <v>0.5</v>
      </c>
      <c r="AC5" s="27">
        <f t="shared" si="3"/>
        <v>1</v>
      </c>
      <c r="AD5" s="7">
        <f>Z5*$AE$5</f>
        <v>721.48</v>
      </c>
      <c r="AE5" s="128">
        <v>1</v>
      </c>
      <c r="AF5" s="1" t="s">
        <v>11</v>
      </c>
      <c r="AG5" s="1" t="s">
        <v>12</v>
      </c>
      <c r="AH5" s="152" t="s">
        <v>175</v>
      </c>
    </row>
    <row r="6" spans="1:34">
      <c r="A6" s="306" t="s">
        <v>212</v>
      </c>
      <c r="B6" s="324" t="s">
        <v>185</v>
      </c>
      <c r="C6" s="18">
        <v>13.31</v>
      </c>
      <c r="D6" s="6">
        <v>3</v>
      </c>
      <c r="E6" s="7">
        <f t="shared" si="0"/>
        <v>39.93</v>
      </c>
      <c r="F6" s="7">
        <f t="shared" si="4"/>
        <v>49.113900000000001</v>
      </c>
      <c r="G6" s="308">
        <f t="shared" si="5"/>
        <v>9.1839000000000013</v>
      </c>
      <c r="H6" s="3"/>
      <c r="I6" s="6" t="s">
        <v>361</v>
      </c>
      <c r="J6" s="343">
        <f>SUM(E25)</f>
        <v>2.75</v>
      </c>
      <c r="K6" s="343">
        <f>SUM(E26)</f>
        <v>12.15</v>
      </c>
      <c r="L6" s="343">
        <f>SUM(E27)</f>
        <v>2.75</v>
      </c>
      <c r="M6" s="343">
        <f>SUM(E28)</f>
        <v>5.9499999999999993</v>
      </c>
      <c r="N6" s="343">
        <f>SUM(E29)</f>
        <v>266.2</v>
      </c>
      <c r="O6" s="343">
        <f>SUM(E30)</f>
        <v>15.99</v>
      </c>
      <c r="P6" s="343">
        <f>SUM(E31)</f>
        <v>0</v>
      </c>
      <c r="Q6" s="343">
        <f>SUM(E32)</f>
        <v>0</v>
      </c>
      <c r="R6" s="343">
        <f>SUM(E33)</f>
        <v>0</v>
      </c>
      <c r="S6" s="343">
        <f>SUM(E34)</f>
        <v>0</v>
      </c>
      <c r="T6" s="343">
        <f>SUM(E35)</f>
        <v>0</v>
      </c>
      <c r="U6" s="343">
        <f>SUM(E36)</f>
        <v>0</v>
      </c>
      <c r="V6" s="7">
        <f>SUM(E37)</f>
        <v>0</v>
      </c>
      <c r="W6" s="9">
        <f>SUM(N32)</f>
        <v>37</v>
      </c>
      <c r="X6" s="7">
        <v>30</v>
      </c>
      <c r="Y6" s="7">
        <f t="shared" si="1"/>
        <v>372.79</v>
      </c>
      <c r="Z6" s="319">
        <f>SUM(Y6*AA16)</f>
        <v>745.58</v>
      </c>
      <c r="AA6" s="9">
        <f>SUM(Z6/AA17)</f>
        <v>162.0826086956522</v>
      </c>
      <c r="AB6" s="151">
        <f t="shared" si="2"/>
        <v>0.5</v>
      </c>
      <c r="AC6" s="27">
        <f t="shared" si="3"/>
        <v>1</v>
      </c>
      <c r="AD6" s="7">
        <f t="shared" ref="AD6:AD11" si="6">Z6*$AE$4</f>
        <v>745.58</v>
      </c>
      <c r="AE6" s="1"/>
      <c r="AF6" s="3">
        <f>M48</f>
        <v>0</v>
      </c>
      <c r="AG6" s="3">
        <f>AH4</f>
        <v>1185.6499999999996</v>
      </c>
      <c r="AH6" s="124">
        <f>AG6-AF6</f>
        <v>1185.6499999999996</v>
      </c>
    </row>
    <row r="7" spans="1:34">
      <c r="A7" s="306" t="s">
        <v>213</v>
      </c>
      <c r="B7" s="324" t="s">
        <v>362</v>
      </c>
      <c r="C7" s="18">
        <v>15.99</v>
      </c>
      <c r="D7" s="6">
        <v>1</v>
      </c>
      <c r="E7" s="7">
        <f t="shared" si="0"/>
        <v>15.99</v>
      </c>
      <c r="F7" s="7">
        <f>E7*1.23</f>
        <v>19.6677</v>
      </c>
      <c r="G7" s="308">
        <f>F7-E7</f>
        <v>3.6776999999999997</v>
      </c>
      <c r="H7" s="3"/>
      <c r="I7" s="6" t="s">
        <v>360</v>
      </c>
      <c r="J7" s="343">
        <f>SUM(E38)</f>
        <v>2.75</v>
      </c>
      <c r="K7" s="343">
        <f>SUM(E39)</f>
        <v>12.15</v>
      </c>
      <c r="L7" s="343">
        <f>SUM(E40)</f>
        <v>2.75</v>
      </c>
      <c r="M7" s="343">
        <f>SUM(E41)</f>
        <v>5.9499999999999993</v>
      </c>
      <c r="N7" s="343">
        <f>SUM(E42)</f>
        <v>212.96</v>
      </c>
      <c r="O7" s="343">
        <f>SUM(E43)</f>
        <v>15.99</v>
      </c>
      <c r="P7" s="343">
        <f>SUM(E44)</f>
        <v>0</v>
      </c>
      <c r="Q7" s="343">
        <f>SUM(E45)</f>
        <v>0</v>
      </c>
      <c r="R7" s="343">
        <f>SUM(E46)</f>
        <v>0</v>
      </c>
      <c r="S7" s="343">
        <f>SUM(E47)</f>
        <v>0</v>
      </c>
      <c r="T7" s="343">
        <f>SUM(E48)</f>
        <v>0</v>
      </c>
      <c r="U7" s="343">
        <v>0</v>
      </c>
      <c r="V7" s="7">
        <v>0</v>
      </c>
      <c r="W7" s="9">
        <f>SUM(N32)</f>
        <v>37</v>
      </c>
      <c r="X7" s="7">
        <v>30</v>
      </c>
      <c r="Y7" s="7">
        <f t="shared" si="1"/>
        <v>319.55</v>
      </c>
      <c r="Z7" s="319">
        <f>SUM(Y7*AA16)</f>
        <v>639.1</v>
      </c>
      <c r="AA7" s="9">
        <f>SUM(Z7/AA17)</f>
        <v>138.93478260869566</v>
      </c>
      <c r="AB7" s="151">
        <f t="shared" si="2"/>
        <v>0.5</v>
      </c>
      <c r="AC7" s="27">
        <f t="shared" si="3"/>
        <v>1</v>
      </c>
      <c r="AD7" s="7">
        <f t="shared" si="6"/>
        <v>639.1</v>
      </c>
      <c r="AE7" s="1"/>
      <c r="AF7" s="1"/>
      <c r="AG7" s="1"/>
      <c r="AH7" s="1"/>
    </row>
    <row r="8" spans="1:34" ht="14.25" customHeight="1">
      <c r="A8" s="306"/>
      <c r="B8" s="325"/>
      <c r="C8" s="18"/>
      <c r="D8" s="6"/>
      <c r="E8" s="257">
        <f t="shared" si="0"/>
        <v>0</v>
      </c>
      <c r="F8" s="257">
        <f>E8*1.23</f>
        <v>0</v>
      </c>
      <c r="G8" s="307">
        <f>F8-E8</f>
        <v>0</v>
      </c>
      <c r="H8" s="3"/>
      <c r="I8" s="22" t="s">
        <v>363</v>
      </c>
      <c r="J8" s="343">
        <f>SUM(E49)</f>
        <v>45.97</v>
      </c>
      <c r="K8" s="343">
        <f>SUM(E50)</f>
        <v>68.319999999999993</v>
      </c>
      <c r="L8" s="343">
        <f>SUM(E51)</f>
        <v>4.76</v>
      </c>
      <c r="M8" s="343">
        <f>SUM(E52)</f>
        <v>19.38</v>
      </c>
      <c r="N8" s="343">
        <f>SUM(E53)</f>
        <v>0</v>
      </c>
      <c r="O8" s="343">
        <f>SUM(E54)</f>
        <v>0</v>
      </c>
      <c r="P8" s="343">
        <f>SUM(E55)</f>
        <v>0</v>
      </c>
      <c r="Q8" s="343">
        <v>0</v>
      </c>
      <c r="R8" s="343">
        <v>0</v>
      </c>
      <c r="S8" s="343">
        <v>0</v>
      </c>
      <c r="T8" s="343">
        <v>0</v>
      </c>
      <c r="U8" s="343">
        <v>0</v>
      </c>
      <c r="V8" s="7">
        <v>0</v>
      </c>
      <c r="W8" s="9">
        <f>SUM(N32)</f>
        <v>37</v>
      </c>
      <c r="X8" s="7">
        <v>30</v>
      </c>
      <c r="Y8" s="7">
        <f t="shared" si="1"/>
        <v>205.43</v>
      </c>
      <c r="Z8" s="319">
        <f>SUM(Y8*AA16)</f>
        <v>410.86</v>
      </c>
      <c r="AA8" s="9">
        <f>SUM(Z8/AA17)</f>
        <v>89.317391304347836</v>
      </c>
      <c r="AB8" s="151">
        <f t="shared" si="2"/>
        <v>0.5</v>
      </c>
      <c r="AC8" s="27">
        <f t="shared" si="3"/>
        <v>1</v>
      </c>
      <c r="AD8" s="7">
        <f t="shared" si="6"/>
        <v>410.86</v>
      </c>
      <c r="AE8" s="1"/>
      <c r="AF8" s="1"/>
      <c r="AG8" s="1" t="s">
        <v>20</v>
      </c>
      <c r="AH8" s="2" t="s">
        <v>13</v>
      </c>
    </row>
    <row r="9" spans="1:34" ht="15" customHeight="1">
      <c r="A9" s="306"/>
      <c r="B9" s="324"/>
      <c r="C9" s="18"/>
      <c r="D9" s="6"/>
      <c r="E9" s="7">
        <f>C9*D9</f>
        <v>0</v>
      </c>
      <c r="F9" s="7">
        <f t="shared" si="4"/>
        <v>0</v>
      </c>
      <c r="G9" s="308">
        <f t="shared" si="5"/>
        <v>0</v>
      </c>
      <c r="H9" s="3"/>
      <c r="I9" s="22" t="s">
        <v>364</v>
      </c>
      <c r="J9" s="343">
        <f>SUM(E56)</f>
        <v>45.97</v>
      </c>
      <c r="K9" s="343">
        <f>SUM(E57)</f>
        <v>68.319999999999993</v>
      </c>
      <c r="L9" s="343">
        <f>SUM(E58)</f>
        <v>4.76</v>
      </c>
      <c r="M9" s="343">
        <f>SUM(E59)</f>
        <v>155.04</v>
      </c>
      <c r="N9" s="343">
        <f>SUM(E60)</f>
        <v>0</v>
      </c>
      <c r="O9" s="343">
        <f>SUM(E61)</f>
        <v>0</v>
      </c>
      <c r="P9" s="343">
        <f>SUM(E62)</f>
        <v>0</v>
      </c>
      <c r="Q9" s="343">
        <f>SUM(E63)</f>
        <v>0</v>
      </c>
      <c r="R9" s="343">
        <f>SUM(E64)</f>
        <v>0</v>
      </c>
      <c r="S9" s="343">
        <f>SUM(E65)</f>
        <v>0</v>
      </c>
      <c r="T9" s="343">
        <v>0</v>
      </c>
      <c r="U9" s="343">
        <v>0</v>
      </c>
      <c r="V9" s="7">
        <v>0</v>
      </c>
      <c r="W9" s="9">
        <f>SUM(N32)</f>
        <v>37</v>
      </c>
      <c r="X9" s="7">
        <v>30</v>
      </c>
      <c r="Y9" s="7">
        <f t="shared" si="1"/>
        <v>341.09</v>
      </c>
      <c r="Z9" s="319">
        <f>SUM(Y9*AA16)</f>
        <v>682.18</v>
      </c>
      <c r="AA9" s="9">
        <f>SUM(Z9/AA17)</f>
        <v>148.30000000000001</v>
      </c>
      <c r="AB9" s="151">
        <f t="shared" si="2"/>
        <v>0.5</v>
      </c>
      <c r="AC9" s="27">
        <f t="shared" si="3"/>
        <v>1</v>
      </c>
      <c r="AD9" s="7">
        <f t="shared" si="6"/>
        <v>682.18</v>
      </c>
      <c r="AF9" s="1"/>
      <c r="AG9" s="3">
        <f>AG4-AF4</f>
        <v>6340.65</v>
      </c>
      <c r="AH9" s="90">
        <f>AH2+AH6</f>
        <v>2165.0999999999995</v>
      </c>
    </row>
    <row r="10" spans="1:34" ht="15.75" customHeight="1">
      <c r="A10" s="306"/>
      <c r="B10" s="324"/>
      <c r="C10" s="18"/>
      <c r="D10" s="6"/>
      <c r="E10" s="7">
        <f t="shared" si="0"/>
        <v>0</v>
      </c>
      <c r="F10" s="7">
        <f t="shared" si="4"/>
        <v>0</v>
      </c>
      <c r="G10" s="308">
        <f t="shared" si="5"/>
        <v>0</v>
      </c>
      <c r="H10" s="3"/>
      <c r="I10" s="22" t="s">
        <v>365</v>
      </c>
      <c r="J10" s="343">
        <f>SUM(E66)</f>
        <v>66.98</v>
      </c>
      <c r="K10" s="343">
        <f>SUM(E67)</f>
        <v>9.7200000000000006</v>
      </c>
      <c r="L10" s="343">
        <f>SUM(E68)</f>
        <v>68.319999999999993</v>
      </c>
      <c r="M10" s="343">
        <f>SUM(E69)</f>
        <v>4.76</v>
      </c>
      <c r="N10" s="343">
        <f>SUM(E70)</f>
        <v>193.79999999999998</v>
      </c>
      <c r="O10" s="343">
        <f>SUM(E71)</f>
        <v>0</v>
      </c>
      <c r="P10" s="343">
        <f>SUM(E72)</f>
        <v>0</v>
      </c>
      <c r="Q10" s="343">
        <f>SUM(E73)</f>
        <v>0</v>
      </c>
      <c r="R10" s="343">
        <f>SUM(E74)</f>
        <v>0</v>
      </c>
      <c r="S10" s="343">
        <v>0</v>
      </c>
      <c r="T10" s="343">
        <v>0</v>
      </c>
      <c r="U10" s="343">
        <v>0</v>
      </c>
      <c r="V10" s="7">
        <v>0</v>
      </c>
      <c r="W10" s="9">
        <f>SUM(N32)</f>
        <v>37</v>
      </c>
      <c r="X10" s="7">
        <v>30</v>
      </c>
      <c r="Y10" s="7">
        <f t="shared" si="1"/>
        <v>410.57999999999993</v>
      </c>
      <c r="Z10" s="319">
        <f>SUM(Y10*AA16)</f>
        <v>821.15999999999985</v>
      </c>
      <c r="AA10" s="9">
        <f>SUM(Z10/AA17)</f>
        <v>178.51304347826084</v>
      </c>
      <c r="AB10" s="151">
        <f t="shared" si="2"/>
        <v>0.5</v>
      </c>
      <c r="AC10" s="27">
        <f t="shared" si="3"/>
        <v>1</v>
      </c>
      <c r="AD10" s="7">
        <f t="shared" si="6"/>
        <v>821.15999999999985</v>
      </c>
      <c r="AE10" s="1"/>
      <c r="AF10" s="1"/>
      <c r="AG10" s="1"/>
      <c r="AH10" s="1"/>
    </row>
    <row r="11" spans="1:34" ht="15" customHeight="1">
      <c r="A11" s="335"/>
      <c r="B11" s="340"/>
      <c r="C11" s="36"/>
      <c r="D11" s="35"/>
      <c r="E11" s="38">
        <f t="shared" si="0"/>
        <v>0</v>
      </c>
      <c r="F11" s="38">
        <f t="shared" si="4"/>
        <v>0</v>
      </c>
      <c r="G11" s="320">
        <f t="shared" si="5"/>
        <v>0</v>
      </c>
      <c r="H11" s="3"/>
      <c r="I11" s="22" t="s">
        <v>364</v>
      </c>
      <c r="J11" s="343">
        <f>SUM(E75)</f>
        <v>66.98</v>
      </c>
      <c r="K11" s="343">
        <f>SUM(E76)</f>
        <v>9.7200000000000006</v>
      </c>
      <c r="L11" s="343">
        <f>SUM(E77)</f>
        <v>68.319999999999993</v>
      </c>
      <c r="M11" s="343">
        <f>SUM(E78)</f>
        <v>4.76</v>
      </c>
      <c r="N11" s="343">
        <f>SUM(E79)</f>
        <v>155.04</v>
      </c>
      <c r="O11" s="343">
        <f>SUM(E80)</f>
        <v>0</v>
      </c>
      <c r="P11" s="343">
        <f>SUM(E81)</f>
        <v>0</v>
      </c>
      <c r="Q11" s="343">
        <f>SUM(E82)</f>
        <v>0</v>
      </c>
      <c r="R11" s="343">
        <v>0</v>
      </c>
      <c r="S11" s="343">
        <v>0</v>
      </c>
      <c r="T11" s="343">
        <v>0</v>
      </c>
      <c r="U11" s="343">
        <v>0</v>
      </c>
      <c r="V11" s="7">
        <v>0</v>
      </c>
      <c r="W11" s="9">
        <f>SUM(N32)</f>
        <v>37</v>
      </c>
      <c r="X11" s="7">
        <v>30</v>
      </c>
      <c r="Y11" s="7">
        <f t="shared" si="1"/>
        <v>371.81999999999994</v>
      </c>
      <c r="Z11" s="333">
        <f>Y11*AA16</f>
        <v>743.63999999999987</v>
      </c>
      <c r="AA11" s="9">
        <f>SUM(Z11/AA17)</f>
        <v>161.66086956521738</v>
      </c>
      <c r="AB11" s="151">
        <f t="shared" si="2"/>
        <v>0.5</v>
      </c>
      <c r="AC11" s="27">
        <f t="shared" si="3"/>
        <v>1</v>
      </c>
      <c r="AD11" s="7">
        <f t="shared" si="6"/>
        <v>743.63999999999987</v>
      </c>
      <c r="AE11" s="1"/>
      <c r="AF11" s="1"/>
      <c r="AG11" s="121" t="s">
        <v>14</v>
      </c>
      <c r="AH11" s="88" t="s">
        <v>189</v>
      </c>
    </row>
    <row r="12" spans="1:34" ht="15" customHeight="1">
      <c r="A12" s="306"/>
      <c r="B12" s="325"/>
      <c r="C12" s="18"/>
      <c r="D12" s="18"/>
      <c r="E12" s="7">
        <f t="shared" ref="E12" si="7">C12*D12</f>
        <v>0</v>
      </c>
      <c r="F12" s="7">
        <f t="shared" ref="F12:F14" si="8">E12*1.23</f>
        <v>0</v>
      </c>
      <c r="G12" s="308">
        <f t="shared" ref="G12:G14" si="9">F12-E12</f>
        <v>0</v>
      </c>
      <c r="H12" s="3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36"/>
      <c r="X12" s="13"/>
      <c r="Y12" s="13"/>
      <c r="Z12" s="337"/>
      <c r="AA12" s="336"/>
      <c r="AB12" s="338"/>
      <c r="AC12" s="339"/>
      <c r="AD12" s="7"/>
      <c r="AE12" s="1"/>
      <c r="AF12" s="1"/>
      <c r="AG12" s="121"/>
      <c r="AH12" s="88"/>
    </row>
    <row r="13" spans="1:34" ht="15" customHeight="1">
      <c r="A13" s="306"/>
      <c r="B13" s="325"/>
      <c r="C13" s="6"/>
      <c r="D13" s="6"/>
      <c r="E13" s="7">
        <f>C13*D13</f>
        <v>0</v>
      </c>
      <c r="F13" s="7">
        <f t="shared" si="8"/>
        <v>0</v>
      </c>
      <c r="G13" s="308">
        <f t="shared" si="9"/>
        <v>0</v>
      </c>
      <c r="H13" s="3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36"/>
      <c r="X13" s="13"/>
      <c r="Y13" s="13"/>
      <c r="Z13" s="337"/>
      <c r="AA13" s="336"/>
      <c r="AB13" s="338"/>
      <c r="AC13" s="339"/>
      <c r="AD13" s="7"/>
      <c r="AE13" s="1"/>
      <c r="AF13" s="1"/>
      <c r="AG13" s="121"/>
      <c r="AH13" s="88"/>
    </row>
    <row r="14" spans="1:34" ht="15" customHeight="1" thickBot="1">
      <c r="A14" s="309"/>
      <c r="B14" s="327"/>
      <c r="C14" s="310"/>
      <c r="D14" s="310"/>
      <c r="E14" s="312">
        <f>C14*D14</f>
        <v>0</v>
      </c>
      <c r="F14" s="312">
        <f t="shared" si="8"/>
        <v>0</v>
      </c>
      <c r="G14" s="313">
        <f t="shared" si="9"/>
        <v>0</v>
      </c>
      <c r="H14" s="3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36"/>
      <c r="X14" s="13"/>
      <c r="Y14" s="13"/>
      <c r="Z14" s="337"/>
      <c r="AA14" s="336"/>
      <c r="AB14" s="338"/>
      <c r="AC14" s="339"/>
      <c r="AD14" s="7"/>
      <c r="AE14" s="1"/>
      <c r="AF14" s="1"/>
      <c r="AG14" s="121"/>
      <c r="AH14" s="88"/>
    </row>
    <row r="15" spans="1:34">
      <c r="A15" s="301" t="s">
        <v>213</v>
      </c>
      <c r="B15" s="323" t="s">
        <v>353</v>
      </c>
      <c r="C15" s="302">
        <v>43.94</v>
      </c>
      <c r="D15" s="303">
        <v>1</v>
      </c>
      <c r="E15" s="43">
        <f>C15*D15</f>
        <v>43.94</v>
      </c>
      <c r="F15" s="43">
        <f t="shared" si="4"/>
        <v>54.046199999999999</v>
      </c>
      <c r="G15" s="342">
        <f t="shared" si="5"/>
        <v>10.106200000000001</v>
      </c>
      <c r="H15" s="3"/>
      <c r="X15" s="26"/>
      <c r="Y15" s="26">
        <f>SUM(Y4:Y11)</f>
        <v>2577.5</v>
      </c>
      <c r="Z15" s="26">
        <f>SUM(Z4:Z11)</f>
        <v>5155</v>
      </c>
      <c r="AA15" s="1"/>
      <c r="AC15" s="1" t="s">
        <v>96</v>
      </c>
      <c r="AD15" s="258">
        <f>SUM(AD4:AD11)</f>
        <v>5155</v>
      </c>
      <c r="AE15" s="1"/>
      <c r="AF15" s="1"/>
      <c r="AG15" s="259">
        <f>AG9-AH9</f>
        <v>4175.55</v>
      </c>
      <c r="AH15" s="123"/>
    </row>
    <row r="16" spans="1:34" ht="15">
      <c r="A16" s="306" t="s">
        <v>213</v>
      </c>
      <c r="B16" s="324" t="s">
        <v>354</v>
      </c>
      <c r="C16" s="255">
        <v>2.4300000000000002</v>
      </c>
      <c r="D16" s="256">
        <v>5</v>
      </c>
      <c r="E16" s="7">
        <f>C16*D16</f>
        <v>12.15</v>
      </c>
      <c r="F16" s="7">
        <f t="shared" si="4"/>
        <v>14.9445</v>
      </c>
      <c r="G16" s="308">
        <f t="shared" si="5"/>
        <v>2.7944999999999993</v>
      </c>
      <c r="H16" s="1"/>
      <c r="X16" s="26"/>
      <c r="Z16" s="157" t="s">
        <v>191</v>
      </c>
      <c r="AA16" s="90">
        <v>2</v>
      </c>
      <c r="AB16" s="90"/>
      <c r="AC16" s="90"/>
      <c r="AD16" s="258">
        <f>SUM(AD15*1.23)</f>
        <v>6340.65</v>
      </c>
      <c r="AE16" s="1"/>
      <c r="AF16" s="161"/>
      <c r="AG16" s="162"/>
      <c r="AH16" s="3">
        <f>AG15/8</f>
        <v>521.94375000000002</v>
      </c>
    </row>
    <row r="17" spans="1:34" ht="12.75" customHeight="1">
      <c r="A17" s="341" t="s">
        <v>213</v>
      </c>
      <c r="B17" s="324" t="s">
        <v>357</v>
      </c>
      <c r="C17" s="18">
        <v>2.75</v>
      </c>
      <c r="D17" s="6">
        <v>1</v>
      </c>
      <c r="E17" s="7">
        <f t="shared" si="0"/>
        <v>2.75</v>
      </c>
      <c r="F17" s="7">
        <f t="shared" si="4"/>
        <v>3.3824999999999998</v>
      </c>
      <c r="G17" s="308">
        <f t="shared" si="5"/>
        <v>0.63249999999999984</v>
      </c>
      <c r="H17" s="1"/>
      <c r="X17" s="26"/>
      <c r="Y17" s="1"/>
      <c r="Z17" s="66" t="s">
        <v>93</v>
      </c>
      <c r="AA17" s="1">
        <v>4.5999999999999996</v>
      </c>
      <c r="AB17" s="1"/>
      <c r="AC17" s="1"/>
      <c r="AD17" s="1"/>
      <c r="AE17" s="1"/>
      <c r="AF17" s="161"/>
      <c r="AG17" s="1"/>
      <c r="AH17" s="1"/>
    </row>
    <row r="18" spans="1:34" ht="15.75" thickBot="1">
      <c r="A18" s="306" t="s">
        <v>213</v>
      </c>
      <c r="B18" s="325" t="s">
        <v>359</v>
      </c>
      <c r="C18" s="18">
        <v>1.19</v>
      </c>
      <c r="D18" s="6">
        <v>5</v>
      </c>
      <c r="E18" s="7">
        <f t="shared" si="0"/>
        <v>5.9499999999999993</v>
      </c>
      <c r="F18" s="7">
        <f t="shared" si="4"/>
        <v>7.3184999999999993</v>
      </c>
      <c r="G18" s="308">
        <f t="shared" si="5"/>
        <v>1.3685</v>
      </c>
      <c r="H18" s="1"/>
      <c r="I18" s="134" t="s">
        <v>108</v>
      </c>
      <c r="J18" s="135" t="s">
        <v>102</v>
      </c>
      <c r="K18" s="135" t="s">
        <v>30</v>
      </c>
      <c r="L18" s="135" t="s">
        <v>101</v>
      </c>
      <c r="M18" s="135"/>
      <c r="N18" s="135" t="s">
        <v>103</v>
      </c>
      <c r="O18" s="135"/>
      <c r="P18" s="135" t="s">
        <v>104</v>
      </c>
      <c r="Q18" s="135"/>
      <c r="R18" s="135"/>
      <c r="S18" s="135"/>
      <c r="T18" s="135"/>
      <c r="U18" s="135"/>
      <c r="V18" s="135"/>
      <c r="W18" s="135" t="s">
        <v>105</v>
      </c>
      <c r="X18" s="135" t="s">
        <v>106</v>
      </c>
      <c r="Y18" s="135" t="s">
        <v>107</v>
      </c>
      <c r="Z18" s="66"/>
      <c r="AB18" s="1"/>
      <c r="AC18" s="1"/>
      <c r="AD18" s="1"/>
      <c r="AE18" s="1"/>
      <c r="AF18" s="366" t="s">
        <v>205</v>
      </c>
      <c r="AG18" s="146">
        <f>AG15</f>
        <v>4175.55</v>
      </c>
      <c r="AH18" s="1"/>
    </row>
    <row r="19" spans="1:34">
      <c r="A19" s="306" t="s">
        <v>212</v>
      </c>
      <c r="B19" s="324" t="s">
        <v>185</v>
      </c>
      <c r="C19" s="18">
        <v>13.31</v>
      </c>
      <c r="D19" s="18">
        <v>16</v>
      </c>
      <c r="E19" s="7">
        <f>C19*D19</f>
        <v>212.96</v>
      </c>
      <c r="F19" s="7">
        <f t="shared" si="4"/>
        <v>261.94080000000002</v>
      </c>
      <c r="G19" s="314">
        <f t="shared" si="5"/>
        <v>48.980800000000016</v>
      </c>
      <c r="H19" s="1"/>
      <c r="I19" s="6"/>
      <c r="J19" s="18">
        <v>14400</v>
      </c>
      <c r="K19" s="18">
        <v>60</v>
      </c>
      <c r="L19" s="9">
        <f>K19/3600</f>
        <v>1.6666666666666666E-2</v>
      </c>
      <c r="M19" s="9"/>
      <c r="N19" s="18">
        <f>J19*20</f>
        <v>288000</v>
      </c>
      <c r="O19" s="18"/>
      <c r="P19" s="9">
        <f>L19*J19</f>
        <v>240</v>
      </c>
      <c r="Q19" s="18"/>
      <c r="R19" s="18"/>
      <c r="S19" s="18"/>
      <c r="T19" s="18"/>
      <c r="U19" s="18"/>
      <c r="V19" s="18"/>
      <c r="W19" s="9">
        <f>N19*L19</f>
        <v>4800</v>
      </c>
      <c r="X19" s="30">
        <f>J19/3600</f>
        <v>4</v>
      </c>
      <c r="Y19" s="30">
        <f>N19/3600</f>
        <v>80</v>
      </c>
      <c r="Z19" s="1"/>
      <c r="AA19" s="1"/>
      <c r="AB19" s="1"/>
      <c r="AC19" s="1"/>
      <c r="AD19" s="1"/>
      <c r="AE19" s="1"/>
      <c r="AF19" s="367"/>
      <c r="AG19" s="1"/>
      <c r="AH19" s="1"/>
    </row>
    <row r="20" spans="1:34" ht="15">
      <c r="A20" s="306" t="s">
        <v>213</v>
      </c>
      <c r="B20" s="324" t="s">
        <v>362</v>
      </c>
      <c r="C20" s="18">
        <v>15.99</v>
      </c>
      <c r="D20" s="6">
        <v>1</v>
      </c>
      <c r="E20" s="7">
        <f t="shared" si="0"/>
        <v>15.99</v>
      </c>
      <c r="F20" s="7">
        <f t="shared" si="4"/>
        <v>19.6677</v>
      </c>
      <c r="G20" s="308">
        <f t="shared" si="5"/>
        <v>3.6776999999999997</v>
      </c>
      <c r="H20" s="1"/>
      <c r="I20" s="6"/>
      <c r="J20" s="18">
        <v>14400</v>
      </c>
      <c r="K20" s="18">
        <v>60</v>
      </c>
      <c r="L20" s="9">
        <f>K20/3600</f>
        <v>1.6666666666666666E-2</v>
      </c>
      <c r="M20" s="9"/>
      <c r="N20" s="18">
        <f t="shared" ref="N20:N21" si="10">J20*20</f>
        <v>288000</v>
      </c>
      <c r="O20" s="18"/>
      <c r="P20" s="9">
        <f>L20*J20</f>
        <v>240</v>
      </c>
      <c r="Q20" s="18"/>
      <c r="R20" s="18"/>
      <c r="S20" s="18"/>
      <c r="T20" s="18"/>
      <c r="U20" s="18"/>
      <c r="V20" s="18"/>
      <c r="W20" s="9">
        <f>N20*L20</f>
        <v>4800</v>
      </c>
      <c r="X20" s="30">
        <f t="shared" ref="X20:X21" si="11">J20/3600</f>
        <v>4</v>
      </c>
      <c r="Y20" s="30">
        <f t="shared" ref="Y20:Y21" si="12">N20/3600</f>
        <v>80</v>
      </c>
      <c r="Z20" s="1"/>
      <c r="AA20" s="1"/>
      <c r="AB20" s="1"/>
      <c r="AC20" s="1"/>
      <c r="AD20" s="1"/>
      <c r="AE20" s="1"/>
      <c r="AF20" s="161"/>
      <c r="AG20" s="162"/>
      <c r="AH20" s="1"/>
    </row>
    <row r="21" spans="1:34" ht="13.5" customHeight="1">
      <c r="A21" s="306"/>
      <c r="B21" s="324"/>
      <c r="C21" s="18"/>
      <c r="D21" s="255"/>
      <c r="E21" s="7">
        <f t="shared" si="0"/>
        <v>0</v>
      </c>
      <c r="F21" s="7">
        <f t="shared" si="4"/>
        <v>0</v>
      </c>
      <c r="G21" s="308">
        <f t="shared" si="5"/>
        <v>0</v>
      </c>
      <c r="H21" s="1"/>
      <c r="I21" s="6"/>
      <c r="J21" s="18">
        <v>14400</v>
      </c>
      <c r="K21" s="18">
        <v>60</v>
      </c>
      <c r="L21" s="9">
        <f>K21/3600</f>
        <v>1.6666666666666666E-2</v>
      </c>
      <c r="M21" s="9"/>
      <c r="N21" s="18">
        <f t="shared" si="10"/>
        <v>288000</v>
      </c>
      <c r="O21" s="18"/>
      <c r="P21" s="9">
        <f>L21*J21</f>
        <v>240</v>
      </c>
      <c r="Q21" s="18"/>
      <c r="R21" s="18"/>
      <c r="S21" s="18"/>
      <c r="T21" s="18"/>
      <c r="U21" s="18"/>
      <c r="V21" s="18"/>
      <c r="W21" s="9">
        <f>N21*L21</f>
        <v>4800</v>
      </c>
      <c r="X21" s="30">
        <f t="shared" si="11"/>
        <v>4</v>
      </c>
      <c r="Y21" s="30">
        <f t="shared" si="12"/>
        <v>80</v>
      </c>
      <c r="Z21" s="1"/>
      <c r="AA21" s="1"/>
      <c r="AB21" s="1"/>
      <c r="AC21" s="1"/>
      <c r="AD21" s="1"/>
      <c r="AE21" s="1"/>
      <c r="AF21" s="161"/>
      <c r="AG21" s="1"/>
      <c r="AH21" s="1"/>
    </row>
    <row r="22" spans="1:34">
      <c r="A22" s="306"/>
      <c r="B22" s="325"/>
      <c r="C22" s="18"/>
      <c r="D22" s="18"/>
      <c r="E22" s="7">
        <f t="shared" si="0"/>
        <v>0</v>
      </c>
      <c r="F22" s="7">
        <f t="shared" si="4"/>
        <v>0</v>
      </c>
      <c r="G22" s="308">
        <f t="shared" si="5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306"/>
      <c r="B23" s="325"/>
      <c r="C23" s="6"/>
      <c r="D23" s="6"/>
      <c r="E23" s="7">
        <f>C23*D23</f>
        <v>0</v>
      </c>
      <c r="F23" s="7">
        <f t="shared" si="4"/>
        <v>0</v>
      </c>
      <c r="G23" s="308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Y23" s="1"/>
      <c r="Z23" s="280"/>
      <c r="AA23" s="160"/>
      <c r="AB23" s="159"/>
      <c r="AC23" s="1"/>
      <c r="AD23" s="1"/>
      <c r="AE23" s="1"/>
      <c r="AF23" s="1"/>
      <c r="AG23" s="1"/>
      <c r="AH23" s="1"/>
    </row>
    <row r="24" spans="1:34" ht="15" thickBot="1">
      <c r="A24" s="309"/>
      <c r="B24" s="327"/>
      <c r="C24" s="310"/>
      <c r="D24" s="310"/>
      <c r="E24" s="312">
        <f>C24*D24</f>
        <v>0</v>
      </c>
      <c r="F24" s="312">
        <f t="shared" ref="F24:F37" si="13">E24*1.23</f>
        <v>0</v>
      </c>
      <c r="G24" s="313">
        <f t="shared" ref="G24:G37" si="14">F24-E24</f>
        <v>0</v>
      </c>
      <c r="H24" s="1"/>
      <c r="I24" s="363" t="s">
        <v>24</v>
      </c>
      <c r="J24" s="364"/>
      <c r="K24" s="364"/>
      <c r="L24" s="365"/>
      <c r="M24" s="3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1"/>
      <c r="Z24" s="280"/>
      <c r="AA24" s="160"/>
      <c r="AB24" s="159"/>
      <c r="AC24" s="1"/>
      <c r="AD24" s="1"/>
      <c r="AE24" s="1"/>
      <c r="AF24" s="1"/>
      <c r="AG24" s="1"/>
      <c r="AH24" s="1"/>
    </row>
    <row r="25" spans="1:34" ht="14.25">
      <c r="A25" s="301" t="s">
        <v>213</v>
      </c>
      <c r="B25" s="324" t="s">
        <v>358</v>
      </c>
      <c r="C25" s="302">
        <v>2.75</v>
      </c>
      <c r="D25" s="303">
        <v>1</v>
      </c>
      <c r="E25" s="304">
        <f>C25*D25</f>
        <v>2.75</v>
      </c>
      <c r="F25" s="304">
        <f t="shared" si="13"/>
        <v>3.3824999999999998</v>
      </c>
      <c r="G25" s="305">
        <f t="shared" si="14"/>
        <v>0.63249999999999984</v>
      </c>
      <c r="H25" s="1"/>
      <c r="I25" s="137" t="s">
        <v>21</v>
      </c>
      <c r="J25" s="137" t="s">
        <v>22</v>
      </c>
      <c r="K25" s="137" t="s">
        <v>23</v>
      </c>
      <c r="L25" s="137" t="s">
        <v>10</v>
      </c>
      <c r="M25" s="3"/>
      <c r="N25" s="1"/>
      <c r="O25" s="1"/>
      <c r="P25" s="1"/>
      <c r="Q25" s="1"/>
      <c r="R25" s="1"/>
      <c r="S25" s="1"/>
      <c r="T25" s="1"/>
      <c r="U25" s="1"/>
      <c r="V25" s="1"/>
      <c r="Z25" s="281"/>
      <c r="AA25" s="1"/>
    </row>
    <row r="26" spans="1:34">
      <c r="A26" s="306" t="s">
        <v>213</v>
      </c>
      <c r="B26" s="324" t="s">
        <v>354</v>
      </c>
      <c r="C26" s="255">
        <v>2.4300000000000002</v>
      </c>
      <c r="D26" s="256">
        <v>5</v>
      </c>
      <c r="E26" s="7">
        <f>C26*D26</f>
        <v>12.15</v>
      </c>
      <c r="F26" s="7">
        <f t="shared" si="13"/>
        <v>14.9445</v>
      </c>
      <c r="G26" s="308">
        <f t="shared" si="14"/>
        <v>2.7944999999999993</v>
      </c>
      <c r="H26" s="1"/>
      <c r="I26" s="6"/>
      <c r="J26" s="7">
        <v>0</v>
      </c>
      <c r="K26" s="7">
        <f t="shared" ref="K26:K33" si="15">J26*1.23</f>
        <v>0</v>
      </c>
      <c r="L26" s="7">
        <f t="shared" ref="L26:L33" si="16">K26-J26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Z26" s="281"/>
    </row>
    <row r="27" spans="1:34">
      <c r="A27" s="341" t="s">
        <v>213</v>
      </c>
      <c r="B27" s="324" t="s">
        <v>357</v>
      </c>
      <c r="C27" s="18">
        <v>2.75</v>
      </c>
      <c r="D27" s="6">
        <v>1</v>
      </c>
      <c r="E27" s="7">
        <f t="shared" ref="E27:E28" si="17">C27*D27</f>
        <v>2.75</v>
      </c>
      <c r="F27" s="7">
        <f t="shared" si="13"/>
        <v>3.3824999999999998</v>
      </c>
      <c r="G27" s="308">
        <f t="shared" si="14"/>
        <v>0.63249999999999984</v>
      </c>
      <c r="H27" s="1"/>
      <c r="I27" s="6"/>
      <c r="J27" s="7">
        <v>0</v>
      </c>
      <c r="K27" s="7">
        <f t="shared" si="15"/>
        <v>0</v>
      </c>
      <c r="L27" s="7">
        <f>K27-J27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Z27" s="281"/>
    </row>
    <row r="28" spans="1:34">
      <c r="A28" s="306" t="s">
        <v>213</v>
      </c>
      <c r="B28" s="325" t="s">
        <v>359</v>
      </c>
      <c r="C28" s="18">
        <v>1.19</v>
      </c>
      <c r="D28" s="6">
        <v>5</v>
      </c>
      <c r="E28" s="7">
        <f t="shared" si="17"/>
        <v>5.9499999999999993</v>
      </c>
      <c r="F28" s="7">
        <f t="shared" si="13"/>
        <v>7.3184999999999993</v>
      </c>
      <c r="G28" s="308">
        <f t="shared" si="14"/>
        <v>1.3685</v>
      </c>
      <c r="H28" s="1"/>
      <c r="I28" s="6" t="s">
        <v>174</v>
      </c>
      <c r="J28" s="7">
        <v>5</v>
      </c>
      <c r="K28" s="7">
        <f t="shared" si="15"/>
        <v>6.15</v>
      </c>
      <c r="L28" s="7">
        <f t="shared" si="16"/>
        <v>1.1500000000000004</v>
      </c>
      <c r="M28" s="3"/>
      <c r="N28" s="1"/>
      <c r="O28" s="1"/>
      <c r="P28" s="1"/>
      <c r="Q28" s="1"/>
      <c r="R28" s="1"/>
      <c r="S28" s="1"/>
      <c r="T28" s="1"/>
      <c r="U28" s="1"/>
      <c r="V28" s="1"/>
      <c r="Z28" s="281"/>
    </row>
    <row r="29" spans="1:34">
      <c r="A29" s="306" t="s">
        <v>212</v>
      </c>
      <c r="B29" s="324" t="s">
        <v>185</v>
      </c>
      <c r="C29" s="18">
        <v>13.31</v>
      </c>
      <c r="D29" s="18">
        <v>20</v>
      </c>
      <c r="E29" s="7">
        <f>C29*D29</f>
        <v>266.2</v>
      </c>
      <c r="F29" s="7">
        <f t="shared" si="13"/>
        <v>327.42599999999999</v>
      </c>
      <c r="G29" s="314">
        <f t="shared" si="14"/>
        <v>61.225999999999999</v>
      </c>
      <c r="H29" s="1"/>
      <c r="I29" s="6" t="s">
        <v>339</v>
      </c>
      <c r="J29" s="7">
        <v>5</v>
      </c>
      <c r="K29" s="7">
        <f t="shared" si="15"/>
        <v>6.15</v>
      </c>
      <c r="L29" s="7">
        <f t="shared" si="16"/>
        <v>1.1500000000000004</v>
      </c>
      <c r="M29" s="3"/>
      <c r="N29" s="1"/>
      <c r="O29" s="1"/>
      <c r="P29" s="1"/>
      <c r="Q29" s="1"/>
      <c r="R29" s="1"/>
      <c r="S29" s="1"/>
      <c r="T29" s="1"/>
      <c r="U29" s="1"/>
      <c r="V29" s="1"/>
      <c r="Z29" s="318"/>
    </row>
    <row r="30" spans="1:34">
      <c r="A30" s="306" t="s">
        <v>213</v>
      </c>
      <c r="B30" s="324" t="s">
        <v>362</v>
      </c>
      <c r="C30" s="18">
        <v>15.99</v>
      </c>
      <c r="D30" s="6">
        <v>1</v>
      </c>
      <c r="E30" s="7">
        <f t="shared" ref="E30:E32" si="18">C30*D30</f>
        <v>15.99</v>
      </c>
      <c r="F30" s="7">
        <f t="shared" si="13"/>
        <v>19.6677</v>
      </c>
      <c r="G30" s="308">
        <f t="shared" si="14"/>
        <v>3.6776999999999997</v>
      </c>
      <c r="H30" s="1"/>
      <c r="I30" s="6" t="s">
        <v>340</v>
      </c>
      <c r="J30" s="7">
        <v>3</v>
      </c>
      <c r="K30" s="7">
        <f>J30*1.23</f>
        <v>3.69</v>
      </c>
      <c r="L30" s="7">
        <f t="shared" si="16"/>
        <v>0.69</v>
      </c>
      <c r="M30" s="3"/>
      <c r="N30" s="1"/>
      <c r="O30" s="1"/>
      <c r="P30" s="1"/>
      <c r="Q30" s="1"/>
      <c r="R30" s="1"/>
      <c r="S30" s="1"/>
      <c r="T30" s="1"/>
      <c r="U30" s="1"/>
      <c r="V30" s="1"/>
      <c r="Z30" s="318"/>
    </row>
    <row r="31" spans="1:34">
      <c r="A31" s="306"/>
      <c r="B31" s="324"/>
      <c r="C31" s="18"/>
      <c r="D31" s="255"/>
      <c r="E31" s="7">
        <f t="shared" si="18"/>
        <v>0</v>
      </c>
      <c r="F31" s="7">
        <f t="shared" si="13"/>
        <v>0</v>
      </c>
      <c r="G31" s="308">
        <f t="shared" si="14"/>
        <v>0</v>
      </c>
      <c r="H31" s="1"/>
      <c r="I31" s="6" t="s">
        <v>341</v>
      </c>
      <c r="J31" s="7">
        <v>2</v>
      </c>
      <c r="K31" s="7">
        <f t="shared" si="15"/>
        <v>2.46</v>
      </c>
      <c r="L31" s="7">
        <f t="shared" si="16"/>
        <v>0.45999999999999996</v>
      </c>
      <c r="M31" s="3"/>
      <c r="N31" s="66" t="s">
        <v>62</v>
      </c>
      <c r="O31" s="66"/>
      <c r="P31" s="66"/>
      <c r="Q31" s="66"/>
      <c r="R31" s="66"/>
      <c r="S31" s="66"/>
      <c r="T31" s="66"/>
      <c r="U31" s="66"/>
      <c r="V31" s="66"/>
      <c r="Z31" s="318"/>
    </row>
    <row r="32" spans="1:34">
      <c r="A32" s="306"/>
      <c r="B32" s="325"/>
      <c r="C32" s="18"/>
      <c r="D32" s="18"/>
      <c r="E32" s="7">
        <f t="shared" si="18"/>
        <v>0</v>
      </c>
      <c r="F32" s="7">
        <f t="shared" si="13"/>
        <v>0</v>
      </c>
      <c r="G32" s="308">
        <f t="shared" si="14"/>
        <v>0</v>
      </c>
      <c r="H32" s="1"/>
      <c r="I32" s="6" t="s">
        <v>225</v>
      </c>
      <c r="J32" s="7">
        <v>2</v>
      </c>
      <c r="K32" s="7">
        <f t="shared" si="15"/>
        <v>2.46</v>
      </c>
      <c r="L32" s="7">
        <f t="shared" si="16"/>
        <v>0.45999999999999996</v>
      </c>
      <c r="M32" s="3"/>
      <c r="N32" s="261">
        <f>SUM(J26:J36)</f>
        <v>37</v>
      </c>
      <c r="O32" s="261"/>
      <c r="P32" s="261"/>
      <c r="Q32" s="90" t="s">
        <v>181</v>
      </c>
      <c r="R32" s="139"/>
      <c r="S32" s="261"/>
      <c r="T32" s="261"/>
      <c r="U32" s="261"/>
      <c r="V32" s="261"/>
      <c r="W32" s="1"/>
      <c r="X32" s="1"/>
      <c r="Y32" s="1"/>
      <c r="Z32" s="318"/>
      <c r="AA32" s="1"/>
      <c r="AB32" s="1"/>
      <c r="AC32" s="1"/>
      <c r="AD32" s="1"/>
      <c r="AE32" s="1"/>
      <c r="AF32" s="1"/>
      <c r="AG32" s="1"/>
      <c r="AH32" s="1"/>
    </row>
    <row r="33" spans="1:34" ht="14.25">
      <c r="A33" s="306"/>
      <c r="B33" s="325"/>
      <c r="C33" s="6"/>
      <c r="D33" s="6"/>
      <c r="E33" s="7">
        <f>C33*D33</f>
        <v>0</v>
      </c>
      <c r="F33" s="7">
        <f t="shared" si="13"/>
        <v>0</v>
      </c>
      <c r="G33" s="308">
        <f t="shared" si="14"/>
        <v>0</v>
      </c>
      <c r="H33" s="1"/>
      <c r="I33" s="6" t="s">
        <v>351</v>
      </c>
      <c r="J33" s="9">
        <v>20</v>
      </c>
      <c r="K33" s="9">
        <f t="shared" si="15"/>
        <v>24.6</v>
      </c>
      <c r="L33" s="9">
        <f t="shared" si="16"/>
        <v>4.6000000000000014</v>
      </c>
      <c r="Q33" s="1" t="s">
        <v>182</v>
      </c>
      <c r="R33" s="144"/>
      <c r="W33" s="1"/>
      <c r="X33" s="1"/>
      <c r="Y33" s="1"/>
      <c r="Z33" s="318"/>
      <c r="AA33" s="1"/>
      <c r="AB33" s="1"/>
      <c r="AC33" s="1"/>
      <c r="AD33" s="1"/>
      <c r="AE33" s="1"/>
      <c r="AF33" s="1"/>
      <c r="AG33" s="1"/>
      <c r="AH33" s="1"/>
    </row>
    <row r="34" spans="1:34">
      <c r="A34" s="306"/>
      <c r="B34" s="324"/>
      <c r="C34" s="18"/>
      <c r="D34" s="18"/>
      <c r="E34" s="7">
        <f>C34*D34</f>
        <v>0</v>
      </c>
      <c r="F34" s="7">
        <f t="shared" ref="F34" si="19">E34*1.23</f>
        <v>0</v>
      </c>
      <c r="G34" s="308">
        <f t="shared" ref="G34" si="20">F34-E34</f>
        <v>0</v>
      </c>
      <c r="H34" s="1"/>
      <c r="I34" s="6" t="s">
        <v>342</v>
      </c>
      <c r="J34" s="7">
        <v>0</v>
      </c>
      <c r="K34" s="7">
        <f>J34*1.23</f>
        <v>0</v>
      </c>
      <c r="L34" s="7">
        <f>K34-J34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80"/>
      <c r="AA34" s="1"/>
      <c r="AB34" s="1"/>
      <c r="AC34" s="1"/>
      <c r="AD34" s="1"/>
      <c r="AE34" s="1"/>
      <c r="AF34" s="1"/>
      <c r="AG34" s="1"/>
      <c r="AH34" s="1"/>
    </row>
    <row r="35" spans="1:34">
      <c r="A35" s="315"/>
      <c r="B35" s="328"/>
      <c r="C35" s="6"/>
      <c r="D35" s="6"/>
      <c r="E35" s="7">
        <f t="shared" ref="E35:E37" si="21">C35*D35</f>
        <v>0</v>
      </c>
      <c r="F35" s="7">
        <f t="shared" si="13"/>
        <v>0</v>
      </c>
      <c r="G35" s="308">
        <f t="shared" si="14"/>
        <v>0</v>
      </c>
      <c r="H35" s="1"/>
      <c r="I35" s="6"/>
      <c r="J35" s="7">
        <v>0</v>
      </c>
      <c r="K35" s="7">
        <f>J35*1.23</f>
        <v>0</v>
      </c>
      <c r="L35" s="7">
        <f>K35-J35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15"/>
      <c r="B36" s="328"/>
      <c r="C36" s="6"/>
      <c r="D36" s="6"/>
      <c r="E36" s="7">
        <f t="shared" si="21"/>
        <v>0</v>
      </c>
      <c r="F36" s="7">
        <f t="shared" si="13"/>
        <v>0</v>
      </c>
      <c r="G36" s="314">
        <f t="shared" si="14"/>
        <v>0</v>
      </c>
      <c r="H36" s="1"/>
      <c r="I36" s="6"/>
      <c r="J36" s="7">
        <v>0</v>
      </c>
      <c r="K36" s="7">
        <f>J36*1.23</f>
        <v>0</v>
      </c>
      <c r="L36" s="7">
        <f>K36-J36</f>
        <v>0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thickBot="1">
      <c r="A37" s="316"/>
      <c r="B37" s="329"/>
      <c r="C37" s="311"/>
      <c r="D37" s="311"/>
      <c r="E37" s="312">
        <f t="shared" si="21"/>
        <v>0</v>
      </c>
      <c r="F37" s="312">
        <f t="shared" si="13"/>
        <v>0</v>
      </c>
      <c r="G37" s="313">
        <f t="shared" si="14"/>
        <v>0</v>
      </c>
      <c r="H37" s="1"/>
      <c r="I37" s="1"/>
      <c r="J37" s="1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" thickBot="1">
      <c r="A38" s="301" t="s">
        <v>213</v>
      </c>
      <c r="B38" s="324" t="s">
        <v>358</v>
      </c>
      <c r="C38" s="302">
        <v>2.75</v>
      </c>
      <c r="D38" s="303">
        <v>1</v>
      </c>
      <c r="E38" s="304">
        <f>C38*D38</f>
        <v>2.75</v>
      </c>
      <c r="F38" s="304">
        <f t="shared" ref="F38:F48" si="22">E38*1.23</f>
        <v>3.3824999999999998</v>
      </c>
      <c r="G38" s="305">
        <f t="shared" ref="G38:G48" si="23">F38-E38</f>
        <v>0.63249999999999984</v>
      </c>
      <c r="H38" s="1"/>
      <c r="I38" s="140" t="s">
        <v>24</v>
      </c>
      <c r="J38" s="141" t="s">
        <v>73</v>
      </c>
      <c r="K38" s="141" t="s">
        <v>74</v>
      </c>
      <c r="L38" s="141" t="s">
        <v>75</v>
      </c>
      <c r="M38" s="142" t="s">
        <v>10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06" t="s">
        <v>213</v>
      </c>
      <c r="B39" s="324" t="s">
        <v>354</v>
      </c>
      <c r="C39" s="255">
        <v>2.4300000000000002</v>
      </c>
      <c r="D39" s="256">
        <v>5</v>
      </c>
      <c r="E39" s="7">
        <f>C39*D39</f>
        <v>12.15</v>
      </c>
      <c r="F39" s="7">
        <f t="shared" si="22"/>
        <v>14.9445</v>
      </c>
      <c r="G39" s="308">
        <f t="shared" si="23"/>
        <v>2.7944999999999993</v>
      </c>
      <c r="H39" s="1"/>
      <c r="I39" s="158" t="s">
        <v>322</v>
      </c>
      <c r="J39" s="41">
        <v>1</v>
      </c>
      <c r="K39" s="42">
        <v>0</v>
      </c>
      <c r="L39" s="42">
        <f>K39*1.23</f>
        <v>0</v>
      </c>
      <c r="M39" s="43">
        <f t="shared" ref="M39:M47" si="24">L39-K39</f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341" t="s">
        <v>213</v>
      </c>
      <c r="B40" s="324" t="s">
        <v>357</v>
      </c>
      <c r="C40" s="18">
        <v>2.75</v>
      </c>
      <c r="D40" s="6">
        <v>1</v>
      </c>
      <c r="E40" s="7">
        <f t="shared" ref="E40:E41" si="25">C40*D40</f>
        <v>2.75</v>
      </c>
      <c r="F40" s="7">
        <f t="shared" si="22"/>
        <v>3.3824999999999998</v>
      </c>
      <c r="G40" s="308">
        <f t="shared" si="23"/>
        <v>0.63249999999999984</v>
      </c>
      <c r="H40" s="1"/>
      <c r="I40" s="30" t="s">
        <v>196</v>
      </c>
      <c r="J40" s="18">
        <v>2</v>
      </c>
      <c r="K40" s="9">
        <v>0</v>
      </c>
      <c r="L40" s="42">
        <f t="shared" ref="L40:L47" si="26">K40*1.23</f>
        <v>0</v>
      </c>
      <c r="M40" s="43">
        <f t="shared" si="24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306" t="s">
        <v>213</v>
      </c>
      <c r="B41" s="325" t="s">
        <v>359</v>
      </c>
      <c r="C41" s="18">
        <v>1.19</v>
      </c>
      <c r="D41" s="6">
        <v>5</v>
      </c>
      <c r="E41" s="7">
        <f t="shared" si="25"/>
        <v>5.9499999999999993</v>
      </c>
      <c r="F41" s="7">
        <f t="shared" si="22"/>
        <v>7.3184999999999993</v>
      </c>
      <c r="G41" s="308">
        <f t="shared" si="23"/>
        <v>1.3685</v>
      </c>
      <c r="H41" s="1"/>
      <c r="I41" s="18" t="s">
        <v>203</v>
      </c>
      <c r="J41" s="18"/>
      <c r="K41" s="9">
        <v>0</v>
      </c>
      <c r="L41" s="42">
        <f t="shared" si="26"/>
        <v>0</v>
      </c>
      <c r="M41" s="43">
        <f t="shared" si="24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306" t="s">
        <v>212</v>
      </c>
      <c r="B42" s="324" t="s">
        <v>185</v>
      </c>
      <c r="C42" s="18">
        <v>13.31</v>
      </c>
      <c r="D42" s="18">
        <v>16</v>
      </c>
      <c r="E42" s="7">
        <f>C42*D42</f>
        <v>212.96</v>
      </c>
      <c r="F42" s="7">
        <f t="shared" si="22"/>
        <v>261.94080000000002</v>
      </c>
      <c r="G42" s="314">
        <f t="shared" si="23"/>
        <v>48.980800000000016</v>
      </c>
      <c r="H42" s="1"/>
      <c r="I42" s="18"/>
      <c r="J42" s="18"/>
      <c r="K42" s="153">
        <v>0</v>
      </c>
      <c r="L42" s="42">
        <f t="shared" si="26"/>
        <v>0</v>
      </c>
      <c r="M42" s="43">
        <f t="shared" si="24"/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306" t="s">
        <v>213</v>
      </c>
      <c r="B43" s="324" t="s">
        <v>362</v>
      </c>
      <c r="C43" s="18">
        <v>15.99</v>
      </c>
      <c r="D43" s="6">
        <v>1</v>
      </c>
      <c r="E43" s="7">
        <f t="shared" ref="E43:E45" si="27">C43*D43</f>
        <v>15.99</v>
      </c>
      <c r="F43" s="7">
        <f t="shared" si="22"/>
        <v>19.6677</v>
      </c>
      <c r="G43" s="308">
        <f t="shared" si="23"/>
        <v>3.6776999999999997</v>
      </c>
      <c r="H43" s="1"/>
      <c r="I43" s="18"/>
      <c r="J43" s="18"/>
      <c r="K43" s="153">
        <v>0</v>
      </c>
      <c r="L43" s="42">
        <f t="shared" si="26"/>
        <v>0</v>
      </c>
      <c r="M43" s="43">
        <f t="shared" si="24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06"/>
      <c r="B44" s="324"/>
      <c r="C44" s="18"/>
      <c r="D44" s="255"/>
      <c r="E44" s="7">
        <f t="shared" si="27"/>
        <v>0</v>
      </c>
      <c r="F44" s="7">
        <f t="shared" si="22"/>
        <v>0</v>
      </c>
      <c r="G44" s="308">
        <f t="shared" si="23"/>
        <v>0</v>
      </c>
      <c r="H44" s="1"/>
      <c r="I44" s="18"/>
      <c r="J44" s="18"/>
      <c r="K44" s="153">
        <v>0</v>
      </c>
      <c r="L44" s="42">
        <f t="shared" si="26"/>
        <v>0</v>
      </c>
      <c r="M44" s="43">
        <f t="shared" si="24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306"/>
      <c r="B45" s="325"/>
      <c r="C45" s="18"/>
      <c r="D45" s="18"/>
      <c r="E45" s="7">
        <f t="shared" si="27"/>
        <v>0</v>
      </c>
      <c r="F45" s="7">
        <f t="shared" si="22"/>
        <v>0</v>
      </c>
      <c r="G45" s="308">
        <f t="shared" si="23"/>
        <v>0</v>
      </c>
      <c r="H45" s="1"/>
      <c r="I45" s="18"/>
      <c r="J45" s="18"/>
      <c r="K45" s="153">
        <v>0</v>
      </c>
      <c r="L45" s="42">
        <f t="shared" si="26"/>
        <v>0</v>
      </c>
      <c r="M45" s="43">
        <f t="shared" si="24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306"/>
      <c r="B46" s="325"/>
      <c r="C46" s="6"/>
      <c r="D46" s="6"/>
      <c r="E46" s="7">
        <f>C46*D46</f>
        <v>0</v>
      </c>
      <c r="F46" s="7">
        <f t="shared" si="22"/>
        <v>0</v>
      </c>
      <c r="G46" s="308">
        <f t="shared" si="23"/>
        <v>0</v>
      </c>
      <c r="H46" s="1"/>
      <c r="I46" s="6"/>
      <c r="J46" s="6"/>
      <c r="K46" s="153">
        <v>0</v>
      </c>
      <c r="L46" s="42">
        <f t="shared" si="26"/>
        <v>0</v>
      </c>
      <c r="M46" s="43">
        <f t="shared" si="24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thickBot="1">
      <c r="A47" s="306"/>
      <c r="B47" s="324"/>
      <c r="C47" s="18"/>
      <c r="D47" s="18"/>
      <c r="E47" s="7">
        <f>C47*D47</f>
        <v>0</v>
      </c>
      <c r="F47" s="7">
        <f t="shared" si="22"/>
        <v>0</v>
      </c>
      <c r="G47" s="308">
        <f t="shared" si="23"/>
        <v>0</v>
      </c>
      <c r="H47" s="1"/>
      <c r="I47" s="35"/>
      <c r="J47" s="35"/>
      <c r="K47" s="155">
        <v>0</v>
      </c>
      <c r="L47" s="42">
        <f t="shared" si="26"/>
        <v>0</v>
      </c>
      <c r="M47" s="43">
        <f t="shared" si="24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thickBot="1">
      <c r="A48" s="316"/>
      <c r="B48" s="329"/>
      <c r="C48" s="311"/>
      <c r="D48" s="311"/>
      <c r="E48" s="312">
        <f t="shared" ref="E48" si="28">C48*D48</f>
        <v>0</v>
      </c>
      <c r="F48" s="312">
        <f t="shared" si="22"/>
        <v>0</v>
      </c>
      <c r="G48" s="313">
        <f t="shared" si="23"/>
        <v>0</v>
      </c>
      <c r="H48" s="1"/>
      <c r="I48" s="39" t="s">
        <v>18</v>
      </c>
      <c r="J48" s="44"/>
      <c r="K48" s="154">
        <f>SUM(K39:K47)</f>
        <v>0</v>
      </c>
      <c r="L48" s="76">
        <f>SUM(L39:L47)</f>
        <v>0</v>
      </c>
      <c r="M48" s="40">
        <f>SUM(M39:M47)</f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26">
      <c r="A49" s="301" t="s">
        <v>213</v>
      </c>
      <c r="B49" s="326" t="s">
        <v>366</v>
      </c>
      <c r="C49" s="302">
        <v>45.97</v>
      </c>
      <c r="D49" s="303">
        <v>1</v>
      </c>
      <c r="E49" s="304">
        <f>C49*D49</f>
        <v>45.97</v>
      </c>
      <c r="F49" s="304">
        <f t="shared" ref="F49:F65" si="29">E49*1.23</f>
        <v>56.543099999999995</v>
      </c>
      <c r="G49" s="305">
        <f t="shared" ref="G49:G65" si="30">F49-E49</f>
        <v>10.573099999999997</v>
      </c>
      <c r="I49" s="1"/>
      <c r="J49" s="1"/>
      <c r="K49" s="1"/>
      <c r="L49" s="1"/>
      <c r="M49" s="1"/>
    </row>
    <row r="50" spans="1:26" ht="15">
      <c r="A50" s="306" t="s">
        <v>213</v>
      </c>
      <c r="B50" s="324" t="s">
        <v>367</v>
      </c>
      <c r="C50" s="18">
        <v>68.319999999999993</v>
      </c>
      <c r="D50" s="6">
        <v>1</v>
      </c>
      <c r="E50" s="7">
        <f>C50*D50</f>
        <v>68.319999999999993</v>
      </c>
      <c r="F50" s="7">
        <f t="shared" si="29"/>
        <v>84.033599999999993</v>
      </c>
      <c r="G50" s="308">
        <f t="shared" si="30"/>
        <v>15.7136</v>
      </c>
      <c r="I50" s="143" t="s">
        <v>21</v>
      </c>
      <c r="J50" s="143" t="s">
        <v>22</v>
      </c>
      <c r="K50" s="143" t="s">
        <v>23</v>
      </c>
      <c r="L50" s="143" t="s">
        <v>10</v>
      </c>
      <c r="M50" s="1"/>
      <c r="W50" s="117"/>
      <c r="X50" s="117"/>
      <c r="Y50" s="117"/>
      <c r="Z50" s="117"/>
    </row>
    <row r="51" spans="1:26">
      <c r="A51" s="306" t="s">
        <v>213</v>
      </c>
      <c r="B51" s="325" t="s">
        <v>359</v>
      </c>
      <c r="C51" s="18">
        <v>1.19</v>
      </c>
      <c r="D51" s="6">
        <v>4</v>
      </c>
      <c r="E51" s="7">
        <f t="shared" ref="E51:E52" si="31">C51*D51</f>
        <v>4.76</v>
      </c>
      <c r="F51" s="7">
        <f t="shared" si="29"/>
        <v>5.8548</v>
      </c>
      <c r="G51" s="308">
        <f t="shared" si="30"/>
        <v>1.0948000000000002</v>
      </c>
      <c r="I51" s="6" t="s">
        <v>388</v>
      </c>
      <c r="J51" s="6"/>
      <c r="K51" s="6"/>
      <c r="L51" s="6"/>
      <c r="M51" s="1"/>
      <c r="W51" s="3"/>
      <c r="X51" s="26"/>
      <c r="Y51" s="26"/>
      <c r="Z51" s="26"/>
    </row>
    <row r="52" spans="1:26">
      <c r="A52" s="306" t="s">
        <v>212</v>
      </c>
      <c r="B52" s="325" t="s">
        <v>185</v>
      </c>
      <c r="C52" s="18">
        <v>9.69</v>
      </c>
      <c r="D52" s="6">
        <v>2</v>
      </c>
      <c r="E52" s="7">
        <f t="shared" si="31"/>
        <v>19.38</v>
      </c>
      <c r="F52" s="7">
        <f t="shared" si="29"/>
        <v>23.837399999999999</v>
      </c>
      <c r="G52" s="308">
        <f t="shared" si="30"/>
        <v>4.4573999999999998</v>
      </c>
      <c r="I52" s="6" t="s">
        <v>24</v>
      </c>
      <c r="J52" s="7">
        <f>K48</f>
        <v>0</v>
      </c>
      <c r="K52" s="7">
        <f>L48</f>
        <v>0</v>
      </c>
      <c r="L52" s="7">
        <f>M48</f>
        <v>0</v>
      </c>
      <c r="M52" s="3"/>
      <c r="W52" s="3"/>
      <c r="X52" s="26"/>
      <c r="Y52" s="26"/>
      <c r="Z52" s="26"/>
    </row>
    <row r="53" spans="1:26" ht="15">
      <c r="A53" s="306"/>
      <c r="B53" s="324"/>
      <c r="C53" s="18"/>
      <c r="D53" s="18"/>
      <c r="E53" s="7">
        <f>C53*D53</f>
        <v>0</v>
      </c>
      <c r="F53" s="7">
        <f t="shared" si="29"/>
        <v>0</v>
      </c>
      <c r="G53" s="314">
        <f t="shared" si="30"/>
        <v>0</v>
      </c>
      <c r="I53" s="148" t="s">
        <v>25</v>
      </c>
      <c r="J53" s="147">
        <f>J51-J52</f>
        <v>0</v>
      </c>
      <c r="K53" s="149">
        <f>K51-K52</f>
        <v>0</v>
      </c>
      <c r="L53" s="150">
        <f>L51-L52</f>
        <v>0</v>
      </c>
      <c r="W53" s="3"/>
      <c r="X53" s="26"/>
      <c r="Y53" s="26"/>
      <c r="Z53" s="26"/>
    </row>
    <row r="54" spans="1:26">
      <c r="A54" s="306"/>
      <c r="B54" s="324"/>
      <c r="C54" s="18"/>
      <c r="D54" s="18"/>
      <c r="E54" s="7">
        <f t="shared" ref="E54:E55" si="32">C54*D54</f>
        <v>0</v>
      </c>
      <c r="F54" s="7">
        <f t="shared" si="29"/>
        <v>0</v>
      </c>
      <c r="G54" s="308">
        <f t="shared" si="30"/>
        <v>0</v>
      </c>
      <c r="W54" s="157"/>
      <c r="X54" s="262"/>
      <c r="Y54" s="157"/>
      <c r="Z54" s="262"/>
    </row>
    <row r="55" spans="1:26" ht="13.5" thickBot="1">
      <c r="A55" s="309"/>
      <c r="B55" s="327"/>
      <c r="C55" s="310"/>
      <c r="D55" s="317"/>
      <c r="E55" s="312">
        <f t="shared" si="32"/>
        <v>0</v>
      </c>
      <c r="F55" s="312">
        <f t="shared" si="29"/>
        <v>0</v>
      </c>
      <c r="G55" s="313">
        <f t="shared" si="30"/>
        <v>0</v>
      </c>
    </row>
    <row r="56" spans="1:26">
      <c r="A56" s="301" t="s">
        <v>213</v>
      </c>
      <c r="B56" s="326" t="s">
        <v>366</v>
      </c>
      <c r="C56" s="302">
        <v>45.97</v>
      </c>
      <c r="D56" s="303">
        <v>1</v>
      </c>
      <c r="E56" s="304">
        <f>C56*D56</f>
        <v>45.97</v>
      </c>
      <c r="F56" s="304">
        <f t="shared" si="29"/>
        <v>56.543099999999995</v>
      </c>
      <c r="G56" s="305">
        <f t="shared" si="30"/>
        <v>10.573099999999997</v>
      </c>
    </row>
    <row r="57" spans="1:26">
      <c r="A57" s="306" t="s">
        <v>213</v>
      </c>
      <c r="B57" s="324" t="s">
        <v>367</v>
      </c>
      <c r="C57" s="18">
        <v>68.319999999999993</v>
      </c>
      <c r="D57" s="6">
        <v>1</v>
      </c>
      <c r="E57" s="7">
        <f>C57*D57</f>
        <v>68.319999999999993</v>
      </c>
      <c r="F57" s="7">
        <f t="shared" si="29"/>
        <v>84.033599999999993</v>
      </c>
      <c r="G57" s="308">
        <f t="shared" si="30"/>
        <v>15.7136</v>
      </c>
    </row>
    <row r="58" spans="1:26">
      <c r="A58" s="306" t="s">
        <v>213</v>
      </c>
      <c r="B58" s="325" t="s">
        <v>359</v>
      </c>
      <c r="C58" s="18">
        <v>1.19</v>
      </c>
      <c r="D58" s="6">
        <v>4</v>
      </c>
      <c r="E58" s="7">
        <f t="shared" ref="E58:E59" si="33">C58*D58</f>
        <v>4.76</v>
      </c>
      <c r="F58" s="7">
        <f t="shared" si="29"/>
        <v>5.8548</v>
      </c>
      <c r="G58" s="308">
        <f t="shared" si="30"/>
        <v>1.0948000000000002</v>
      </c>
    </row>
    <row r="59" spans="1:26">
      <c r="A59" s="306" t="s">
        <v>212</v>
      </c>
      <c r="B59" s="325" t="s">
        <v>185</v>
      </c>
      <c r="C59" s="18">
        <v>9.69</v>
      </c>
      <c r="D59" s="6">
        <v>16</v>
      </c>
      <c r="E59" s="7">
        <f t="shared" si="33"/>
        <v>155.04</v>
      </c>
      <c r="F59" s="7">
        <f t="shared" si="29"/>
        <v>190.69919999999999</v>
      </c>
      <c r="G59" s="308">
        <f t="shared" si="30"/>
        <v>35.659199999999998</v>
      </c>
    </row>
    <row r="60" spans="1:26">
      <c r="A60" s="306"/>
      <c r="B60" s="324"/>
      <c r="C60" s="18"/>
      <c r="D60" s="18"/>
      <c r="E60" s="7">
        <f>C60*D60</f>
        <v>0</v>
      </c>
      <c r="F60" s="7">
        <f t="shared" si="29"/>
        <v>0</v>
      </c>
      <c r="G60" s="314">
        <f t="shared" si="30"/>
        <v>0</v>
      </c>
    </row>
    <row r="61" spans="1:26">
      <c r="A61" s="306"/>
      <c r="B61" s="324"/>
      <c r="C61" s="18"/>
      <c r="D61" s="18"/>
      <c r="E61" s="7">
        <f t="shared" ref="E61:E65" si="34">C61*D61</f>
        <v>0</v>
      </c>
      <c r="F61" s="7">
        <f t="shared" si="29"/>
        <v>0</v>
      </c>
      <c r="G61" s="308">
        <f t="shared" si="30"/>
        <v>0</v>
      </c>
    </row>
    <row r="62" spans="1:26">
      <c r="A62" s="306"/>
      <c r="B62" s="324"/>
      <c r="C62" s="18"/>
      <c r="D62" s="255"/>
      <c r="E62" s="7">
        <f t="shared" si="34"/>
        <v>0</v>
      </c>
      <c r="F62" s="7">
        <f t="shared" si="29"/>
        <v>0</v>
      </c>
      <c r="G62" s="308">
        <f t="shared" si="30"/>
        <v>0</v>
      </c>
    </row>
    <row r="63" spans="1:26">
      <c r="A63" s="315"/>
      <c r="B63" s="328"/>
      <c r="C63" s="6"/>
      <c r="D63" s="6"/>
      <c r="E63" s="7">
        <f t="shared" si="34"/>
        <v>0</v>
      </c>
      <c r="F63" s="7">
        <f t="shared" si="29"/>
        <v>0</v>
      </c>
      <c r="G63" s="308">
        <f t="shared" si="30"/>
        <v>0</v>
      </c>
    </row>
    <row r="64" spans="1:26">
      <c r="A64" s="315"/>
      <c r="B64" s="328"/>
      <c r="C64" s="6"/>
      <c r="D64" s="6"/>
      <c r="E64" s="7">
        <f t="shared" si="34"/>
        <v>0</v>
      </c>
      <c r="F64" s="7">
        <f t="shared" si="29"/>
        <v>0</v>
      </c>
      <c r="G64" s="314">
        <f t="shared" si="30"/>
        <v>0</v>
      </c>
    </row>
    <row r="65" spans="1:7" ht="13.5" thickBot="1">
      <c r="A65" s="316"/>
      <c r="B65" s="329"/>
      <c r="C65" s="311"/>
      <c r="D65" s="311"/>
      <c r="E65" s="312">
        <f t="shared" si="34"/>
        <v>0</v>
      </c>
      <c r="F65" s="312">
        <f t="shared" si="29"/>
        <v>0</v>
      </c>
      <c r="G65" s="313">
        <f t="shared" si="30"/>
        <v>0</v>
      </c>
    </row>
    <row r="66" spans="1:7">
      <c r="A66" s="301" t="s">
        <v>213</v>
      </c>
      <c r="B66" s="326" t="s">
        <v>368</v>
      </c>
      <c r="C66" s="302">
        <v>66.98</v>
      </c>
      <c r="D66" s="303">
        <v>1</v>
      </c>
      <c r="E66" s="304">
        <f>C66*D66</f>
        <v>66.98</v>
      </c>
      <c r="F66" s="304">
        <f t="shared" ref="F66:F81" si="35">E66*1.23</f>
        <v>82.385400000000004</v>
      </c>
      <c r="G66" s="305">
        <f t="shared" ref="G66:G81" si="36">F66-E66</f>
        <v>15.4054</v>
      </c>
    </row>
    <row r="67" spans="1:7">
      <c r="A67" s="306" t="s">
        <v>213</v>
      </c>
      <c r="B67" s="324" t="s">
        <v>354</v>
      </c>
      <c r="C67" s="18">
        <v>2.4300000000000002</v>
      </c>
      <c r="D67" s="6">
        <v>4</v>
      </c>
      <c r="E67" s="7">
        <f>C67*D67</f>
        <v>9.7200000000000006</v>
      </c>
      <c r="F67" s="7">
        <f t="shared" si="35"/>
        <v>11.9556</v>
      </c>
      <c r="G67" s="308">
        <f t="shared" si="36"/>
        <v>2.2355999999999998</v>
      </c>
    </row>
    <row r="68" spans="1:7">
      <c r="A68" s="306" t="s">
        <v>213</v>
      </c>
      <c r="B68" s="324" t="s">
        <v>367</v>
      </c>
      <c r="C68" s="18">
        <v>68.319999999999993</v>
      </c>
      <c r="D68" s="6">
        <v>1</v>
      </c>
      <c r="E68" s="7">
        <f t="shared" ref="E68:E69" si="37">C68*D68</f>
        <v>68.319999999999993</v>
      </c>
      <c r="F68" s="7">
        <f t="shared" si="35"/>
        <v>84.033599999999993</v>
      </c>
      <c r="G68" s="308">
        <f t="shared" si="36"/>
        <v>15.7136</v>
      </c>
    </row>
    <row r="69" spans="1:7">
      <c r="A69" s="306" t="s">
        <v>213</v>
      </c>
      <c r="B69" s="325" t="s">
        <v>359</v>
      </c>
      <c r="C69" s="18">
        <v>1.19</v>
      </c>
      <c r="D69" s="6">
        <v>4</v>
      </c>
      <c r="E69" s="7">
        <f t="shared" si="37"/>
        <v>4.76</v>
      </c>
      <c r="F69" s="7">
        <f t="shared" si="35"/>
        <v>5.8548</v>
      </c>
      <c r="G69" s="308">
        <f t="shared" si="36"/>
        <v>1.0948000000000002</v>
      </c>
    </row>
    <row r="70" spans="1:7">
      <c r="A70" s="306" t="s">
        <v>212</v>
      </c>
      <c r="B70" s="325" t="s">
        <v>185</v>
      </c>
      <c r="C70" s="18">
        <v>9.69</v>
      </c>
      <c r="D70" s="6">
        <v>20</v>
      </c>
      <c r="E70" s="7">
        <f>C70*D70</f>
        <v>193.79999999999998</v>
      </c>
      <c r="F70" s="7">
        <f t="shared" si="35"/>
        <v>238.37399999999997</v>
      </c>
      <c r="G70" s="314">
        <f t="shared" si="36"/>
        <v>44.573999999999984</v>
      </c>
    </row>
    <row r="71" spans="1:7">
      <c r="A71" s="306"/>
      <c r="B71" s="324"/>
      <c r="C71" s="18"/>
      <c r="D71" s="18"/>
      <c r="E71" s="7">
        <f t="shared" ref="E71:E74" si="38">C71*D71</f>
        <v>0</v>
      </c>
      <c r="F71" s="7">
        <f t="shared" si="35"/>
        <v>0</v>
      </c>
      <c r="G71" s="308">
        <f t="shared" si="36"/>
        <v>0</v>
      </c>
    </row>
    <row r="72" spans="1:7">
      <c r="A72" s="306"/>
      <c r="B72" s="324"/>
      <c r="C72" s="18"/>
      <c r="D72" s="255"/>
      <c r="E72" s="7">
        <f t="shared" si="38"/>
        <v>0</v>
      </c>
      <c r="F72" s="7">
        <f t="shared" si="35"/>
        <v>0</v>
      </c>
      <c r="G72" s="308">
        <f t="shared" si="36"/>
        <v>0</v>
      </c>
    </row>
    <row r="73" spans="1:7">
      <c r="A73" s="315"/>
      <c r="B73" s="328"/>
      <c r="C73" s="6"/>
      <c r="D73" s="6"/>
      <c r="E73" s="7">
        <f t="shared" si="38"/>
        <v>0</v>
      </c>
      <c r="F73" s="7">
        <f t="shared" si="35"/>
        <v>0</v>
      </c>
      <c r="G73" s="314">
        <f t="shared" si="36"/>
        <v>0</v>
      </c>
    </row>
    <row r="74" spans="1:7" ht="13.5" thickBot="1">
      <c r="A74" s="321"/>
      <c r="B74" s="330"/>
      <c r="C74" s="35"/>
      <c r="D74" s="35"/>
      <c r="E74" s="38">
        <f t="shared" si="38"/>
        <v>0</v>
      </c>
      <c r="F74" s="38">
        <f t="shared" si="35"/>
        <v>0</v>
      </c>
      <c r="G74" s="320">
        <f t="shared" si="36"/>
        <v>0</v>
      </c>
    </row>
    <row r="75" spans="1:7">
      <c r="A75" s="301" t="s">
        <v>213</v>
      </c>
      <c r="B75" s="326" t="s">
        <v>368</v>
      </c>
      <c r="C75" s="302">
        <v>66.98</v>
      </c>
      <c r="D75" s="303">
        <v>1</v>
      </c>
      <c r="E75" s="304">
        <f>C75*D75</f>
        <v>66.98</v>
      </c>
      <c r="F75" s="304">
        <f t="shared" si="35"/>
        <v>82.385400000000004</v>
      </c>
      <c r="G75" s="305">
        <f t="shared" si="36"/>
        <v>15.4054</v>
      </c>
    </row>
    <row r="76" spans="1:7">
      <c r="A76" s="306" t="s">
        <v>213</v>
      </c>
      <c r="B76" s="324" t="s">
        <v>354</v>
      </c>
      <c r="C76" s="18">
        <v>2.4300000000000002</v>
      </c>
      <c r="D76" s="6">
        <v>4</v>
      </c>
      <c r="E76" s="7">
        <f>C76*D76</f>
        <v>9.7200000000000006</v>
      </c>
      <c r="F76" s="7">
        <f t="shared" si="35"/>
        <v>11.9556</v>
      </c>
      <c r="G76" s="308">
        <f t="shared" si="36"/>
        <v>2.2355999999999998</v>
      </c>
    </row>
    <row r="77" spans="1:7">
      <c r="A77" s="306" t="s">
        <v>213</v>
      </c>
      <c r="B77" s="324" t="s">
        <v>367</v>
      </c>
      <c r="C77" s="18">
        <v>68.319999999999993</v>
      </c>
      <c r="D77" s="6">
        <v>1</v>
      </c>
      <c r="E77" s="7">
        <f t="shared" ref="E77:E78" si="39">C77*D77</f>
        <v>68.319999999999993</v>
      </c>
      <c r="F77" s="7">
        <f t="shared" si="35"/>
        <v>84.033599999999993</v>
      </c>
      <c r="G77" s="308">
        <f t="shared" si="36"/>
        <v>15.7136</v>
      </c>
    </row>
    <row r="78" spans="1:7">
      <c r="A78" s="306" t="s">
        <v>213</v>
      </c>
      <c r="B78" s="325" t="s">
        <v>359</v>
      </c>
      <c r="C78" s="18">
        <v>1.19</v>
      </c>
      <c r="D78" s="6">
        <v>4</v>
      </c>
      <c r="E78" s="7">
        <f t="shared" si="39"/>
        <v>4.76</v>
      </c>
      <c r="F78" s="7">
        <f t="shared" si="35"/>
        <v>5.8548</v>
      </c>
      <c r="G78" s="308">
        <f t="shared" si="36"/>
        <v>1.0948000000000002</v>
      </c>
    </row>
    <row r="79" spans="1:7">
      <c r="A79" s="306" t="s">
        <v>212</v>
      </c>
      <c r="B79" s="325" t="s">
        <v>185</v>
      </c>
      <c r="C79" s="18">
        <v>9.69</v>
      </c>
      <c r="D79" s="6">
        <v>16</v>
      </c>
      <c r="E79" s="7">
        <f>C79*D79</f>
        <v>155.04</v>
      </c>
      <c r="F79" s="7">
        <f t="shared" si="35"/>
        <v>190.69919999999999</v>
      </c>
      <c r="G79" s="314">
        <f t="shared" si="36"/>
        <v>35.659199999999998</v>
      </c>
    </row>
    <row r="80" spans="1:7">
      <c r="A80" s="306"/>
      <c r="B80" s="324"/>
      <c r="C80" s="18"/>
      <c r="D80" s="18"/>
      <c r="E80" s="7">
        <f t="shared" ref="E80:E81" si="40">C80*D80</f>
        <v>0</v>
      </c>
      <c r="F80" s="7">
        <f t="shared" si="35"/>
        <v>0</v>
      </c>
      <c r="G80" s="308">
        <f t="shared" si="36"/>
        <v>0</v>
      </c>
    </row>
    <row r="81" spans="1:7">
      <c r="A81" s="306"/>
      <c r="B81" s="324"/>
      <c r="C81" s="18"/>
      <c r="D81" s="18"/>
      <c r="E81" s="7">
        <f t="shared" si="40"/>
        <v>0</v>
      </c>
      <c r="F81" s="7">
        <f t="shared" si="35"/>
        <v>0</v>
      </c>
      <c r="G81" s="308">
        <f t="shared" si="36"/>
        <v>0</v>
      </c>
    </row>
    <row r="82" spans="1:7" ht="13.5" thickBot="1">
      <c r="A82" s="316"/>
      <c r="B82" s="331"/>
      <c r="C82" s="310"/>
      <c r="D82" s="310"/>
      <c r="E82" s="312">
        <f t="shared" ref="E82" si="41">C82*D82</f>
        <v>0</v>
      </c>
      <c r="F82" s="312">
        <f t="shared" ref="F82" si="42">E82*1.23</f>
        <v>0</v>
      </c>
      <c r="G82" s="313">
        <f t="shared" ref="G82" si="43">F82-E82</f>
        <v>0</v>
      </c>
    </row>
  </sheetData>
  <mergeCells count="2">
    <mergeCell ref="AF18:AF19"/>
    <mergeCell ref="I24:L24"/>
  </mergeCells>
  <pageMargins left="0.7" right="0.7" top="0.75" bottom="0.75" header="0.3" footer="0.3"/>
  <pageSetup paperSize="9" orientation="portrait" horizontalDpi="300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opLeftCell="H1" zoomScale="85" zoomScaleNormal="85" workbookViewId="0">
      <selection activeCell="AA15" sqref="AA15"/>
    </sheetView>
  </sheetViews>
  <sheetFormatPr defaultRowHeight="12.75"/>
  <cols>
    <col min="1" max="1" width="21" style="97" customWidth="1"/>
    <col min="2" max="2" width="25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30" customWidth="1"/>
    <col min="10" max="10" width="14.140625" customWidth="1"/>
    <col min="11" max="11" width="13.42578125" customWidth="1"/>
    <col min="12" max="12" width="12.5703125" bestFit="1" customWidth="1"/>
    <col min="13" max="13" width="12.5703125" customWidth="1"/>
    <col min="14" max="14" width="14" customWidth="1"/>
    <col min="15" max="15" width="16.140625" customWidth="1"/>
    <col min="16" max="16" width="16.85546875" customWidth="1"/>
    <col min="17" max="17" width="15.42578125" customWidth="1"/>
    <col min="18" max="18" width="13" customWidth="1"/>
    <col min="19" max="19" width="20" customWidth="1"/>
    <col min="20" max="20" width="9.85546875" customWidth="1"/>
    <col min="21" max="21" width="11.140625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>
      <c r="A2" s="138" t="s">
        <v>33</v>
      </c>
      <c r="B2" s="137" t="s">
        <v>0</v>
      </c>
      <c r="C2" s="137" t="s">
        <v>9</v>
      </c>
      <c r="D2" s="137" t="s">
        <v>8</v>
      </c>
      <c r="E2" s="136" t="s">
        <v>1</v>
      </c>
      <c r="F2" s="136" t="s">
        <v>2</v>
      </c>
      <c r="G2" s="137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92" t="s">
        <v>239</v>
      </c>
      <c r="B3" s="29" t="s">
        <v>236</v>
      </c>
      <c r="C3" s="18">
        <v>2.85</v>
      </c>
      <c r="D3" s="6">
        <v>1</v>
      </c>
      <c r="E3" s="7">
        <f t="shared" ref="E3:E20" si="0">C3*D3</f>
        <v>2.85</v>
      </c>
      <c r="F3" s="7">
        <f>E3*1.23</f>
        <v>3.5055000000000001</v>
      </c>
      <c r="G3" s="7">
        <f>F3-E3</f>
        <v>0.65549999999999997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64.61</v>
      </c>
      <c r="Z3" s="3">
        <f>W13</f>
        <v>870</v>
      </c>
      <c r="AA3" s="124">
        <f>(Z3-Y3)*0.19</f>
        <v>153.0241</v>
      </c>
    </row>
    <row r="4" spans="1:27">
      <c r="A4" s="92" t="s">
        <v>239</v>
      </c>
      <c r="B4" s="29" t="s">
        <v>232</v>
      </c>
      <c r="C4" s="21">
        <v>5</v>
      </c>
      <c r="D4" s="6">
        <v>1</v>
      </c>
      <c r="E4" s="32">
        <f t="shared" si="0"/>
        <v>5</v>
      </c>
      <c r="F4" s="32">
        <f>E4*1.23</f>
        <v>6.15</v>
      </c>
      <c r="G4" s="32">
        <f>F4-E4</f>
        <v>1.1500000000000004</v>
      </c>
      <c r="H4" s="3"/>
      <c r="I4" s="128" t="s">
        <v>31</v>
      </c>
      <c r="J4" s="128" t="s">
        <v>194</v>
      </c>
      <c r="K4" s="128" t="s">
        <v>206</v>
      </c>
      <c r="L4" s="128" t="s">
        <v>207</v>
      </c>
      <c r="M4" s="128" t="s">
        <v>208</v>
      </c>
      <c r="N4" s="128" t="s">
        <v>209</v>
      </c>
      <c r="O4" s="128" t="s">
        <v>210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1</v>
      </c>
      <c r="X4" s="8"/>
      <c r="Y4" s="1" t="s">
        <v>6</v>
      </c>
      <c r="Z4" s="1" t="s">
        <v>7</v>
      </c>
      <c r="AA4" s="1" t="s">
        <v>176</v>
      </c>
    </row>
    <row r="5" spans="1:27">
      <c r="A5" s="92" t="s">
        <v>212</v>
      </c>
      <c r="B5" s="94" t="s">
        <v>185</v>
      </c>
      <c r="C5" s="18">
        <v>1.33</v>
      </c>
      <c r="D5" s="6">
        <v>5</v>
      </c>
      <c r="E5" s="7">
        <f t="shared" si="0"/>
        <v>6.65</v>
      </c>
      <c r="F5" s="7">
        <f>E5*1.23</f>
        <v>8.1795000000000009</v>
      </c>
      <c r="G5" s="7">
        <f>F5-E5</f>
        <v>1.5295000000000005</v>
      </c>
      <c r="H5" s="3"/>
      <c r="I5" s="5" t="s">
        <v>228</v>
      </c>
      <c r="J5" s="7"/>
      <c r="K5" s="7">
        <f>SUM(E3)</f>
        <v>2.85</v>
      </c>
      <c r="L5" s="7">
        <f>SUM(E4)</f>
        <v>5</v>
      </c>
      <c r="M5" s="7">
        <f>SUM(E5)</f>
        <v>6.65</v>
      </c>
      <c r="N5" s="165" t="s">
        <v>224</v>
      </c>
      <c r="O5" s="166" t="s">
        <v>224</v>
      </c>
      <c r="P5" s="9">
        <f>SUM(N30)</f>
        <v>17</v>
      </c>
      <c r="Q5" s="7">
        <v>20</v>
      </c>
      <c r="R5" s="7">
        <f t="shared" ref="R5:R10" si="1">SUM(K5:Q5)</f>
        <v>51.5</v>
      </c>
      <c r="S5" s="145">
        <v>211</v>
      </c>
      <c r="T5" s="9">
        <f>SUM(S5/T15)</f>
        <v>45.869565217391305</v>
      </c>
      <c r="U5" s="151">
        <f t="shared" ref="U5:U12" si="2">(S5-R5)/S5</f>
        <v>0.75592417061611372</v>
      </c>
      <c r="V5" s="27">
        <f t="shared" ref="V5:V12" si="3">((S5-R5)/R5)</f>
        <v>3.0970873786407767</v>
      </c>
      <c r="W5" s="7">
        <f t="shared" ref="W5:W12" si="4">S5*$W$4</f>
        <v>211</v>
      </c>
      <c r="X5" s="8"/>
      <c r="Y5" s="3">
        <f>L46</f>
        <v>79.470299999999995</v>
      </c>
      <c r="Z5" s="3">
        <f>Z3*1.23</f>
        <v>1070.0999999999999</v>
      </c>
      <c r="AA5" s="3">
        <f>Z5-Z3</f>
        <v>200.09999999999991</v>
      </c>
    </row>
    <row r="6" spans="1:27">
      <c r="A6" s="92" t="s">
        <v>239</v>
      </c>
      <c r="B6" s="29" t="s">
        <v>235</v>
      </c>
      <c r="C6" s="18">
        <v>3.66</v>
      </c>
      <c r="D6" s="6">
        <v>1</v>
      </c>
      <c r="E6" s="7">
        <f t="shared" si="0"/>
        <v>3.66</v>
      </c>
      <c r="F6" s="7">
        <f t="shared" ref="F6:F21" si="5">E6*1.23</f>
        <v>4.5018000000000002</v>
      </c>
      <c r="G6" s="7">
        <f t="shared" ref="G6:G21" si="6">F6-E6</f>
        <v>0.8418000000000001</v>
      </c>
      <c r="H6" s="3"/>
      <c r="I6" s="5" t="s">
        <v>229</v>
      </c>
      <c r="J6" s="6"/>
      <c r="K6" s="7">
        <f>SUM(E6)</f>
        <v>3.66</v>
      </c>
      <c r="L6" s="7">
        <f>SUM(E7)</f>
        <v>5</v>
      </c>
      <c r="M6" s="7">
        <f>SUM(E8)</f>
        <v>6.65</v>
      </c>
      <c r="N6" s="165" t="s">
        <v>224</v>
      </c>
      <c r="O6" s="166" t="s">
        <v>224</v>
      </c>
      <c r="P6" s="9">
        <f>SUM(N30)</f>
        <v>17</v>
      </c>
      <c r="Q6" s="7">
        <v>20</v>
      </c>
      <c r="R6" s="7">
        <f t="shared" si="1"/>
        <v>52.31</v>
      </c>
      <c r="S6" s="145">
        <v>206</v>
      </c>
      <c r="T6" s="9">
        <f>SUM(S6/T15)</f>
        <v>44.782608695652179</v>
      </c>
      <c r="U6" s="151">
        <f t="shared" si="2"/>
        <v>0.74606796116504859</v>
      </c>
      <c r="V6" s="27">
        <f t="shared" si="3"/>
        <v>2.9380615561078187</v>
      </c>
      <c r="W6" s="7">
        <f t="shared" si="4"/>
        <v>206</v>
      </c>
      <c r="X6" s="8"/>
      <c r="Y6" s="1" t="s">
        <v>11</v>
      </c>
      <c r="Z6" s="1" t="s">
        <v>12</v>
      </c>
      <c r="AA6" s="152" t="s">
        <v>175</v>
      </c>
    </row>
    <row r="7" spans="1:27">
      <c r="A7" s="92" t="s">
        <v>239</v>
      </c>
      <c r="B7" s="29" t="s">
        <v>237</v>
      </c>
      <c r="C7" s="18">
        <v>5</v>
      </c>
      <c r="D7" s="6">
        <v>1</v>
      </c>
      <c r="E7" s="7">
        <f t="shared" si="0"/>
        <v>5</v>
      </c>
      <c r="F7" s="7">
        <f t="shared" si="5"/>
        <v>6.15</v>
      </c>
      <c r="G7" s="7">
        <f t="shared" si="6"/>
        <v>1.1500000000000004</v>
      </c>
      <c r="H7" s="3"/>
      <c r="I7" s="5" t="s">
        <v>230</v>
      </c>
      <c r="J7" s="6"/>
      <c r="K7" s="7">
        <f>SUM(E9)</f>
        <v>4.07</v>
      </c>
      <c r="L7" s="7">
        <f>SUM(E10)</f>
        <v>5</v>
      </c>
      <c r="M7" s="7">
        <f>SUM(E11)</f>
        <v>6.65</v>
      </c>
      <c r="N7" s="165" t="s">
        <v>224</v>
      </c>
      <c r="O7" s="166" t="s">
        <v>224</v>
      </c>
      <c r="P7" s="9">
        <f>SUM(N30)</f>
        <v>17</v>
      </c>
      <c r="Q7" s="7">
        <v>20</v>
      </c>
      <c r="R7" s="7">
        <f t="shared" si="1"/>
        <v>52.72</v>
      </c>
      <c r="S7" s="145">
        <v>217</v>
      </c>
      <c r="T7" s="9">
        <f>SUM(S7/T15)</f>
        <v>47.173913043478265</v>
      </c>
      <c r="U7" s="151">
        <f t="shared" si="2"/>
        <v>0.75705069124423963</v>
      </c>
      <c r="V7" s="27">
        <f t="shared" si="3"/>
        <v>3.11608497723824</v>
      </c>
      <c r="W7" s="7">
        <f t="shared" si="4"/>
        <v>217</v>
      </c>
      <c r="X7" s="8"/>
      <c r="Y7" s="3">
        <f>M46</f>
        <v>14.860299999999995</v>
      </c>
      <c r="Z7" s="3">
        <f>AA5</f>
        <v>200.09999999999991</v>
      </c>
      <c r="AA7" s="124">
        <f>Z7-Y7</f>
        <v>185.23969999999991</v>
      </c>
    </row>
    <row r="8" spans="1:27">
      <c r="A8" s="92" t="s">
        <v>212</v>
      </c>
      <c r="B8" s="94" t="s">
        <v>185</v>
      </c>
      <c r="C8" s="18">
        <v>1.33</v>
      </c>
      <c r="D8" s="6">
        <v>5</v>
      </c>
      <c r="E8" s="7">
        <f t="shared" si="0"/>
        <v>6.65</v>
      </c>
      <c r="F8" s="7">
        <f>E8*1.23</f>
        <v>8.1795000000000009</v>
      </c>
      <c r="G8" s="7">
        <f>F8-E8</f>
        <v>1.5295000000000005</v>
      </c>
      <c r="H8" s="3"/>
      <c r="I8" s="5" t="s">
        <v>231</v>
      </c>
      <c r="J8" s="6"/>
      <c r="K8" s="7">
        <f>SUM(E12)</f>
        <v>3.66</v>
      </c>
      <c r="L8" s="7">
        <f>SUM(E13)</f>
        <v>4.07</v>
      </c>
      <c r="M8" s="7">
        <f>SUM(E14)</f>
        <v>11.35</v>
      </c>
      <c r="N8" s="165" t="s">
        <v>224</v>
      </c>
      <c r="O8" s="166" t="s">
        <v>224</v>
      </c>
      <c r="P8" s="9">
        <f>SUM(N30)</f>
        <v>17</v>
      </c>
      <c r="Q8" s="7">
        <v>20</v>
      </c>
      <c r="R8" s="7">
        <f t="shared" si="1"/>
        <v>56.08</v>
      </c>
      <c r="S8" s="145">
        <v>236</v>
      </c>
      <c r="T8" s="9">
        <f>SUM(S8/T15)</f>
        <v>51.304347826086961</v>
      </c>
      <c r="U8" s="151">
        <f t="shared" si="2"/>
        <v>0.76237288135593229</v>
      </c>
      <c r="V8" s="27">
        <f t="shared" si="3"/>
        <v>3.2082738944365197</v>
      </c>
      <c r="W8" s="7">
        <f t="shared" si="4"/>
        <v>236</v>
      </c>
      <c r="X8" s="8"/>
      <c r="Y8" s="1"/>
      <c r="Z8" s="1"/>
      <c r="AA8" s="1"/>
    </row>
    <row r="9" spans="1:27" ht="14.25" customHeight="1">
      <c r="A9" s="92" t="s">
        <v>239</v>
      </c>
      <c r="B9" s="29" t="s">
        <v>234</v>
      </c>
      <c r="C9" s="18">
        <v>4.07</v>
      </c>
      <c r="D9" s="6">
        <v>1</v>
      </c>
      <c r="E9" s="32">
        <f t="shared" si="0"/>
        <v>4.07</v>
      </c>
      <c r="F9" s="32">
        <f>E9*1.23</f>
        <v>5.0061</v>
      </c>
      <c r="G9" s="32">
        <f>F9-E9</f>
        <v>0.93609999999999971</v>
      </c>
      <c r="H9" s="3"/>
      <c r="I9" s="5" t="s">
        <v>31</v>
      </c>
      <c r="J9" s="6"/>
      <c r="K9" s="7"/>
      <c r="L9" s="7"/>
      <c r="M9" s="7"/>
      <c r="N9" s="7"/>
      <c r="O9" s="166"/>
      <c r="P9" s="9"/>
      <c r="Q9" s="7"/>
      <c r="R9" s="7">
        <f t="shared" si="1"/>
        <v>0</v>
      </c>
      <c r="S9" s="145">
        <f>R9*T14</f>
        <v>0</v>
      </c>
      <c r="T9" s="9">
        <f>SUM(S9/T15)</f>
        <v>0</v>
      </c>
      <c r="U9" s="151" t="e">
        <f t="shared" si="2"/>
        <v>#DIV/0!</v>
      </c>
      <c r="V9" s="27" t="e">
        <f t="shared" si="3"/>
        <v>#DIV/0!</v>
      </c>
      <c r="W9" s="7">
        <f t="shared" si="4"/>
        <v>0</v>
      </c>
      <c r="X9" s="1"/>
      <c r="Y9" s="1"/>
      <c r="Z9" s="1" t="s">
        <v>20</v>
      </c>
      <c r="AA9" s="2" t="s">
        <v>13</v>
      </c>
    </row>
    <row r="10" spans="1:27" ht="15" customHeight="1">
      <c r="A10" s="92" t="s">
        <v>239</v>
      </c>
      <c r="B10" s="29" t="s">
        <v>237</v>
      </c>
      <c r="C10" s="18">
        <v>5</v>
      </c>
      <c r="D10" s="6">
        <v>1</v>
      </c>
      <c r="E10" s="7">
        <f t="shared" si="0"/>
        <v>5</v>
      </c>
      <c r="F10" s="7">
        <f t="shared" si="5"/>
        <v>6.15</v>
      </c>
      <c r="G10" s="7">
        <f t="shared" si="6"/>
        <v>1.1500000000000004</v>
      </c>
      <c r="H10" s="3"/>
      <c r="I10" s="5" t="s">
        <v>31</v>
      </c>
      <c r="J10" s="6"/>
      <c r="K10" s="7"/>
      <c r="L10" s="7"/>
      <c r="M10" s="7"/>
      <c r="N10" s="7"/>
      <c r="O10" s="166"/>
      <c r="P10" s="9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990.62969999999996</v>
      </c>
      <c r="AA10" s="90">
        <f>AA3+AA7</f>
        <v>338.26379999999995</v>
      </c>
    </row>
    <row r="11" spans="1:27" ht="15.75" customHeight="1">
      <c r="A11" s="92" t="s">
        <v>212</v>
      </c>
      <c r="B11" s="94" t="s">
        <v>185</v>
      </c>
      <c r="C11" s="18">
        <v>1.33</v>
      </c>
      <c r="D11" s="6">
        <v>5</v>
      </c>
      <c r="E11" s="7">
        <f t="shared" si="0"/>
        <v>6.65</v>
      </c>
      <c r="F11" s="7">
        <f t="shared" si="5"/>
        <v>8.1795000000000009</v>
      </c>
      <c r="G11" s="7">
        <f t="shared" si="6"/>
        <v>1.5295000000000005</v>
      </c>
      <c r="H11" s="3"/>
      <c r="I11" s="5" t="s">
        <v>31</v>
      </c>
      <c r="J11" s="6"/>
      <c r="K11" s="7"/>
      <c r="L11" s="7"/>
      <c r="M11" s="7"/>
      <c r="N11" s="7"/>
      <c r="O11" s="16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92" t="s">
        <v>239</v>
      </c>
      <c r="B12" s="29" t="s">
        <v>238</v>
      </c>
      <c r="C12" s="18">
        <v>3.66</v>
      </c>
      <c r="D12" s="6">
        <v>1</v>
      </c>
      <c r="E12" s="7">
        <f t="shared" si="0"/>
        <v>3.66</v>
      </c>
      <c r="F12" s="7">
        <f t="shared" si="5"/>
        <v>4.5018000000000002</v>
      </c>
      <c r="G12" s="7">
        <f t="shared" si="6"/>
        <v>0.8418000000000001</v>
      </c>
      <c r="H12" s="3"/>
      <c r="I12" s="5" t="s">
        <v>31</v>
      </c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>
      <c r="A13" s="92" t="s">
        <v>239</v>
      </c>
      <c r="B13" s="29" t="s">
        <v>237</v>
      </c>
      <c r="C13" s="18">
        <v>4.07</v>
      </c>
      <c r="D13" s="6">
        <v>1</v>
      </c>
      <c r="E13" s="7">
        <f t="shared" si="0"/>
        <v>4.07</v>
      </c>
      <c r="F13" s="7">
        <f t="shared" si="5"/>
        <v>5.0061</v>
      </c>
      <c r="G13" s="7">
        <f t="shared" si="6"/>
        <v>0.93609999999999971</v>
      </c>
      <c r="H13" s="3"/>
      <c r="Q13" s="10"/>
      <c r="R13" s="26">
        <f>SUM(R5:R12)</f>
        <v>212.61</v>
      </c>
      <c r="T13" s="1"/>
      <c r="V13" s="1" t="s">
        <v>96</v>
      </c>
      <c r="W13" s="72">
        <f>SUM(W5:W12)</f>
        <v>870</v>
      </c>
      <c r="X13" s="1"/>
      <c r="Y13" s="1"/>
      <c r="Z13" s="122">
        <f>Z10-AA10</f>
        <v>652.36590000000001</v>
      </c>
      <c r="AA13" s="123"/>
    </row>
    <row r="14" spans="1:27" ht="15">
      <c r="A14" s="92" t="s">
        <v>212</v>
      </c>
      <c r="B14" s="94" t="s">
        <v>185</v>
      </c>
      <c r="C14" s="18">
        <v>2.27</v>
      </c>
      <c r="D14" s="6">
        <v>5</v>
      </c>
      <c r="E14" s="7">
        <f>C14*D14</f>
        <v>11.35</v>
      </c>
      <c r="F14" s="7">
        <f t="shared" si="5"/>
        <v>13.9605</v>
      </c>
      <c r="G14" s="7">
        <f t="shared" si="6"/>
        <v>2.6105</v>
      </c>
      <c r="H14" s="1"/>
      <c r="Q14" s="10"/>
      <c r="S14" s="157" t="s">
        <v>191</v>
      </c>
      <c r="T14" s="156">
        <v>2.5</v>
      </c>
      <c r="U14" s="156"/>
      <c r="V14" s="156"/>
      <c r="W14" s="72">
        <f>SUM(W13*1.23)</f>
        <v>1070.0999999999999</v>
      </c>
      <c r="X14" s="1"/>
      <c r="Y14" s="161"/>
      <c r="Z14" s="162"/>
      <c r="AA14" s="3">
        <f>Z13/4</f>
        <v>163.091475</v>
      </c>
    </row>
    <row r="15" spans="1:27" ht="12.75" customHeight="1">
      <c r="A15" s="92"/>
      <c r="B15" s="29"/>
      <c r="C15" s="18"/>
      <c r="D15" s="6">
        <v>1</v>
      </c>
      <c r="E15" s="7">
        <f t="shared" si="0"/>
        <v>0</v>
      </c>
      <c r="F15" s="7">
        <f t="shared" si="5"/>
        <v>0</v>
      </c>
      <c r="G15" s="7">
        <f t="shared" si="6"/>
        <v>0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161"/>
      <c r="Z15" s="12"/>
      <c r="AA15" s="1"/>
    </row>
    <row r="16" spans="1:27" ht="15.75" thickBot="1">
      <c r="A16" s="92"/>
      <c r="B16" s="94"/>
      <c r="C16" s="21"/>
      <c r="D16" s="6">
        <v>1</v>
      </c>
      <c r="E16" s="7">
        <f t="shared" si="0"/>
        <v>0</v>
      </c>
      <c r="F16" s="7">
        <f t="shared" si="5"/>
        <v>0</v>
      </c>
      <c r="G16" s="7">
        <f t="shared" si="6"/>
        <v>0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205</v>
      </c>
      <c r="Z16" s="146">
        <f>Z13</f>
        <v>652.36590000000001</v>
      </c>
      <c r="AA16" s="1"/>
    </row>
    <row r="17" spans="1:27">
      <c r="A17" s="92"/>
      <c r="B17" s="94"/>
      <c r="C17" s="18"/>
      <c r="D17" s="6">
        <v>1</v>
      </c>
      <c r="E17" s="7">
        <f>C17*D17</f>
        <v>0</v>
      </c>
      <c r="F17" s="7">
        <f t="shared" si="5"/>
        <v>0</v>
      </c>
      <c r="G17" s="9">
        <f t="shared" si="6"/>
        <v>0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7"/>
      <c r="Z17" s="1"/>
      <c r="AA17" s="1"/>
    </row>
    <row r="18" spans="1:27" ht="15">
      <c r="A18" s="92"/>
      <c r="B18" s="29"/>
      <c r="C18" s="18"/>
      <c r="D18" s="6">
        <v>1</v>
      </c>
      <c r="E18" s="7">
        <f t="shared" si="0"/>
        <v>0</v>
      </c>
      <c r="F18" s="7">
        <f t="shared" si="5"/>
        <v>0</v>
      </c>
      <c r="G18" s="7">
        <f t="shared" si="6"/>
        <v>0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161"/>
      <c r="Z18" s="162"/>
      <c r="AA18" s="1"/>
    </row>
    <row r="19" spans="1:27" ht="13.5" customHeight="1">
      <c r="A19" s="92"/>
      <c r="B19" s="29"/>
      <c r="C19" s="21"/>
      <c r="D19" s="6">
        <v>1</v>
      </c>
      <c r="E19" s="7">
        <f t="shared" si="0"/>
        <v>0</v>
      </c>
      <c r="F19" s="7">
        <f t="shared" si="5"/>
        <v>0</v>
      </c>
      <c r="G19" s="7">
        <f t="shared" si="6"/>
        <v>0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161"/>
      <c r="Z19" s="12"/>
      <c r="AA19" s="1"/>
    </row>
    <row r="20" spans="1:27">
      <c r="A20" s="92"/>
      <c r="B20" s="94"/>
      <c r="C20" s="18"/>
      <c r="D20" s="6">
        <v>1</v>
      </c>
      <c r="E20" s="7">
        <f t="shared" si="0"/>
        <v>0</v>
      </c>
      <c r="F20" s="7">
        <f t="shared" si="5"/>
        <v>0</v>
      </c>
      <c r="G20" s="7">
        <f t="shared" si="6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92"/>
      <c r="B21" s="94"/>
      <c r="C21" s="6"/>
      <c r="D21" s="6">
        <v>1</v>
      </c>
      <c r="E21" s="7">
        <f>C21*D21</f>
        <v>0</v>
      </c>
      <c r="F21" s="7">
        <f t="shared" si="5"/>
        <v>0</v>
      </c>
      <c r="G21" s="7">
        <f t="shared" si="6"/>
        <v>0</v>
      </c>
      <c r="H21" s="1"/>
      <c r="I21" s="1"/>
      <c r="J21" s="1"/>
      <c r="K21" s="1"/>
      <c r="L21" s="1"/>
      <c r="M21" s="1"/>
      <c r="N21" s="1"/>
      <c r="R21" s="1"/>
      <c r="S21" s="160"/>
      <c r="T21" s="160"/>
      <c r="U21" s="159"/>
      <c r="V21" s="1"/>
      <c r="W21" s="1"/>
      <c r="X21" s="1"/>
      <c r="Y21" s="1"/>
      <c r="Z21" s="1"/>
      <c r="AA21" s="1"/>
    </row>
    <row r="22" spans="1:27" ht="14.25">
      <c r="A22" s="96"/>
      <c r="B22" s="6" t="s">
        <v>18</v>
      </c>
      <c r="C22" s="6"/>
      <c r="D22" s="6"/>
      <c r="E22" s="7">
        <f>SUM(E3:E21)</f>
        <v>64.61</v>
      </c>
      <c r="F22" s="7">
        <f>SUM(F3:F21)</f>
        <v>79.470300000000009</v>
      </c>
      <c r="G22" s="7">
        <f>SUM(G3:G21)</f>
        <v>14.860300000000004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60"/>
      <c r="T22" s="160"/>
      <c r="U22" s="159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  <c r="S25" s="1"/>
    </row>
    <row r="26" spans="1:27">
      <c r="A26" s="98"/>
      <c r="B26" s="33"/>
      <c r="C26" s="105"/>
      <c r="D26" s="105"/>
      <c r="E26" s="104"/>
      <c r="F26" s="102"/>
      <c r="G26" s="104"/>
      <c r="H26" s="1"/>
      <c r="I26" s="6" t="s">
        <v>174</v>
      </c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5</v>
      </c>
      <c r="K27" s="7">
        <f t="shared" si="10"/>
        <v>6.15</v>
      </c>
      <c r="L27" s="7">
        <f t="shared" si="11"/>
        <v>1.1500000000000004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90</v>
      </c>
      <c r="J28" s="7">
        <v>5</v>
      </c>
      <c r="K28" s="7">
        <f>J28*1.23</f>
        <v>6.15</v>
      </c>
      <c r="L28" s="7">
        <f t="shared" si="11"/>
        <v>1.1500000000000004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211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 t="s">
        <v>225</v>
      </c>
      <c r="J30" s="7">
        <v>2</v>
      </c>
      <c r="K30" s="7">
        <f t="shared" si="10"/>
        <v>2.46</v>
      </c>
      <c r="L30" s="7">
        <f t="shared" si="11"/>
        <v>0.45999999999999996</v>
      </c>
      <c r="M30" s="13"/>
      <c r="N30" s="55">
        <f>SUM(J24:J32)</f>
        <v>17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 t="s">
        <v>233</v>
      </c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202</v>
      </c>
      <c r="J32" s="7">
        <v>0</v>
      </c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204</v>
      </c>
      <c r="J37" s="41">
        <v>1</v>
      </c>
      <c r="K37" s="42">
        <v>0</v>
      </c>
      <c r="L37" s="42">
        <f>K37*1.23</f>
        <v>0</v>
      </c>
      <c r="M37" s="43">
        <f t="shared" ref="M37:M45" si="12">L37-K37</f>
        <v>0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204</v>
      </c>
      <c r="J38" s="18">
        <v>2</v>
      </c>
      <c r="K38" s="9">
        <v>0</v>
      </c>
      <c r="L38" s="42">
        <f t="shared" ref="L38:L45" si="13">K38*1.23</f>
        <v>0</v>
      </c>
      <c r="M38" s="43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 t="s">
        <v>203</v>
      </c>
      <c r="J39" s="18"/>
      <c r="K39" s="9">
        <f>SUM(E22)</f>
        <v>64.61</v>
      </c>
      <c r="L39" s="42">
        <f t="shared" si="13"/>
        <v>79.470299999999995</v>
      </c>
      <c r="M39" s="43">
        <f t="shared" si="12"/>
        <v>14.860299999999995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42">
        <f t="shared" si="13"/>
        <v>0</v>
      </c>
      <c r="M40" s="43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42">
        <f t="shared" si="13"/>
        <v>0</v>
      </c>
      <c r="M41" s="43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42">
        <f t="shared" si="13"/>
        <v>0</v>
      </c>
      <c r="M42" s="43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42">
        <f t="shared" si="13"/>
        <v>0</v>
      </c>
      <c r="M43" s="43">
        <f t="shared" si="12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42">
        <f t="shared" si="13"/>
        <v>0</v>
      </c>
      <c r="M44" s="43">
        <f t="shared" si="12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42">
        <f t="shared" si="13"/>
        <v>0</v>
      </c>
      <c r="M45" s="43">
        <f t="shared" si="12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64.61</v>
      </c>
      <c r="L46" s="76">
        <f>SUM(L37:L45)</f>
        <v>79.470299999999995</v>
      </c>
      <c r="M46" s="40">
        <f>SUM(M37:M45)</f>
        <v>14.860299999999995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98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64.61</v>
      </c>
      <c r="K50" s="7">
        <f>L46</f>
        <v>79.470299999999995</v>
      </c>
      <c r="L50" s="7">
        <f>M46</f>
        <v>14.860299999999995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-64.61</v>
      </c>
      <c r="K51" s="149">
        <f>K49-K50</f>
        <v>-79.470299999999995</v>
      </c>
      <c r="L51" s="150">
        <f>L49-L50</f>
        <v>-14.860299999999995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3">
    <mergeCell ref="Y1:AA1"/>
    <mergeCell ref="Y16:Y17"/>
    <mergeCell ref="I22:L2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workbookViewId="0">
      <selection activeCell="A2" sqref="A2"/>
    </sheetView>
  </sheetViews>
  <sheetFormatPr defaultRowHeight="12.75"/>
  <cols>
    <col min="1" max="1" width="21" style="97" customWidth="1"/>
    <col min="2" max="2" width="25" customWidth="1"/>
    <col min="3" max="3" width="6" bestFit="1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27" customWidth="1"/>
    <col min="10" max="10" width="14.140625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1" width="9" bestFit="1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>
      <c r="A2" s="138" t="s">
        <v>33</v>
      </c>
      <c r="B2" s="137" t="s">
        <v>0</v>
      </c>
      <c r="C2" s="137" t="s">
        <v>9</v>
      </c>
      <c r="D2" s="137" t="s">
        <v>8</v>
      </c>
      <c r="E2" s="136" t="s">
        <v>1</v>
      </c>
      <c r="F2" s="136" t="s">
        <v>2</v>
      </c>
      <c r="G2" s="137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92" t="s">
        <v>183</v>
      </c>
      <c r="B3" s="29" t="s">
        <v>186</v>
      </c>
      <c r="C3" s="18">
        <v>14.72</v>
      </c>
      <c r="D3" s="6">
        <v>1</v>
      </c>
      <c r="E3" s="7">
        <f t="shared" ref="E3:E21" si="0">C3*D3</f>
        <v>14.72</v>
      </c>
      <c r="F3" s="7">
        <f>E3*1.23</f>
        <v>18.105599999999999</v>
      </c>
      <c r="G3" s="7">
        <f>F3-E3</f>
        <v>3.3855999999999984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947.48</v>
      </c>
      <c r="Z3" s="3">
        <f>W13</f>
        <v>48744</v>
      </c>
      <c r="AA3" s="124">
        <f>(Z3-Y3)*0.19</f>
        <v>9081.3387999999995</v>
      </c>
    </row>
    <row r="4" spans="1:27">
      <c r="A4" s="92" t="s">
        <v>183</v>
      </c>
      <c r="B4" s="29" t="s">
        <v>184</v>
      </c>
      <c r="C4" s="21">
        <v>14.72</v>
      </c>
      <c r="D4" s="31">
        <v>1</v>
      </c>
      <c r="E4" s="32">
        <f t="shared" si="0"/>
        <v>14.72</v>
      </c>
      <c r="F4" s="32">
        <f>E4*1.23</f>
        <v>18.105599999999999</v>
      </c>
      <c r="G4" s="32">
        <f>F4-E4</f>
        <v>3.3855999999999984</v>
      </c>
      <c r="H4" s="3"/>
      <c r="I4" s="128" t="s">
        <v>31</v>
      </c>
      <c r="J4" s="128" t="s">
        <v>26</v>
      </c>
      <c r="K4" s="128" t="s">
        <v>194</v>
      </c>
      <c r="L4" s="128" t="s">
        <v>185</v>
      </c>
      <c r="M4" s="128" t="s">
        <v>15</v>
      </c>
      <c r="N4" s="128" t="s">
        <v>136</v>
      </c>
      <c r="O4" s="128" t="s">
        <v>194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100</v>
      </c>
      <c r="X4" s="8"/>
      <c r="Y4" s="1" t="s">
        <v>6</v>
      </c>
      <c r="Z4" s="1" t="s">
        <v>7</v>
      </c>
      <c r="AA4" s="1" t="s">
        <v>176</v>
      </c>
    </row>
    <row r="5" spans="1:27">
      <c r="A5" s="92" t="s">
        <v>183</v>
      </c>
      <c r="B5" s="94" t="s">
        <v>192</v>
      </c>
      <c r="C5" s="18">
        <v>11.36</v>
      </c>
      <c r="D5" s="6">
        <v>8</v>
      </c>
      <c r="E5" s="7">
        <f t="shared" si="0"/>
        <v>90.88</v>
      </c>
      <c r="F5" s="7">
        <f>E5*1.23</f>
        <v>111.7824</v>
      </c>
      <c r="G5" s="7">
        <f>F5-E5</f>
        <v>20.9024</v>
      </c>
      <c r="H5" s="3"/>
      <c r="I5" s="5" t="s">
        <v>197</v>
      </c>
      <c r="J5" s="6">
        <v>8</v>
      </c>
      <c r="K5" s="7">
        <v>0</v>
      </c>
      <c r="L5" s="7">
        <f>SUM(E5)</f>
        <v>90.88</v>
      </c>
      <c r="M5" s="7">
        <f>SUM(E3)</f>
        <v>14.72</v>
      </c>
      <c r="N5" s="7">
        <f>SUM(E4)</f>
        <v>14.72</v>
      </c>
      <c r="O5" s="7">
        <v>0</v>
      </c>
      <c r="P5">
        <v>0</v>
      </c>
      <c r="Q5" s="7">
        <v>60</v>
      </c>
      <c r="R5" s="7">
        <f t="shared" ref="R5:R10" si="1">SUM(K5:Q5)</f>
        <v>180.32</v>
      </c>
      <c r="S5" s="145">
        <f>R5*T14</f>
        <v>270.48</v>
      </c>
      <c r="T5" s="9">
        <f>SUM(S5/T15)</f>
        <v>58.800000000000011</v>
      </c>
      <c r="U5" s="151">
        <f t="shared" ref="U5:U12" si="2">(S5-R5)/S5</f>
        <v>0.33333333333333343</v>
      </c>
      <c r="V5" s="27">
        <f t="shared" ref="V5:V12" si="3">((S5-R5)/R5)</f>
        <v>0.50000000000000011</v>
      </c>
      <c r="W5" s="7">
        <f t="shared" ref="W5:W12" si="4">S5*$W$4</f>
        <v>27048</v>
      </c>
      <c r="X5" s="8"/>
      <c r="Y5" s="3">
        <f>L46</f>
        <v>1165.4004</v>
      </c>
      <c r="Z5" s="3">
        <f>Z3*1.23</f>
        <v>59955.12</v>
      </c>
      <c r="AA5" s="3">
        <f>Z5-Z3</f>
        <v>11211.120000000003</v>
      </c>
    </row>
    <row r="6" spans="1:27">
      <c r="A6" s="92" t="s">
        <v>183</v>
      </c>
      <c r="B6" s="29" t="s">
        <v>186</v>
      </c>
      <c r="C6" s="18">
        <v>14.72</v>
      </c>
      <c r="D6" s="18">
        <v>1</v>
      </c>
      <c r="E6" s="7">
        <f t="shared" si="0"/>
        <v>14.72</v>
      </c>
      <c r="F6" s="7">
        <f t="shared" ref="F6:F21" si="5">E6*1.23</f>
        <v>18.105599999999999</v>
      </c>
      <c r="G6" s="7">
        <f t="shared" ref="G6:G21" si="6">F6-E6</f>
        <v>3.3855999999999984</v>
      </c>
      <c r="H6" s="3"/>
      <c r="I6" s="5" t="s">
        <v>198</v>
      </c>
      <c r="J6" s="6">
        <v>8</v>
      </c>
      <c r="K6" s="7">
        <v>0</v>
      </c>
      <c r="L6" s="7">
        <f>SUM(E8)</f>
        <v>15.2</v>
      </c>
      <c r="M6" s="7">
        <f>SUM(E6)</f>
        <v>14.72</v>
      </c>
      <c r="N6" s="7">
        <f>SUM(E7)</f>
        <v>14.72</v>
      </c>
      <c r="O6" s="7">
        <v>0</v>
      </c>
      <c r="P6" s="7">
        <f>N30</f>
        <v>40</v>
      </c>
      <c r="Q6" s="7">
        <v>60</v>
      </c>
      <c r="R6" s="7">
        <f t="shared" si="1"/>
        <v>144.63999999999999</v>
      </c>
      <c r="S6" s="145">
        <f>R6*T14</f>
        <v>216.95999999999998</v>
      </c>
      <c r="T6" s="9">
        <f>SUM(S6/T15)</f>
        <v>47.165217391304346</v>
      </c>
      <c r="U6" s="151">
        <f t="shared" si="2"/>
        <v>0.33333333333333331</v>
      </c>
      <c r="V6" s="27">
        <f t="shared" si="3"/>
        <v>0.5</v>
      </c>
      <c r="W6" s="7">
        <f t="shared" si="4"/>
        <v>21695.999999999996</v>
      </c>
      <c r="X6" s="8"/>
      <c r="Y6" s="1" t="s">
        <v>11</v>
      </c>
      <c r="Z6" s="1" t="s">
        <v>12</v>
      </c>
      <c r="AA6" s="152" t="s">
        <v>175</v>
      </c>
    </row>
    <row r="7" spans="1:27">
      <c r="A7" s="92" t="s">
        <v>183</v>
      </c>
      <c r="B7" s="29" t="s">
        <v>184</v>
      </c>
      <c r="C7" s="18">
        <v>14.72</v>
      </c>
      <c r="D7" s="21">
        <v>1</v>
      </c>
      <c r="E7" s="7">
        <f t="shared" si="0"/>
        <v>14.72</v>
      </c>
      <c r="F7" s="7">
        <f t="shared" si="5"/>
        <v>18.105599999999999</v>
      </c>
      <c r="G7" s="7">
        <f t="shared" si="6"/>
        <v>3.3855999999999984</v>
      </c>
      <c r="H7" s="3"/>
      <c r="I7" s="5"/>
      <c r="J7" s="6"/>
      <c r="K7" s="7">
        <v>0</v>
      </c>
      <c r="L7" s="7">
        <f>SUM(E11)</f>
        <v>0</v>
      </c>
      <c r="M7" s="7">
        <f>SUM(E9)</f>
        <v>0</v>
      </c>
      <c r="N7" s="7">
        <f>SUM(E10)</f>
        <v>0</v>
      </c>
      <c r="O7" s="7">
        <v>0</v>
      </c>
      <c r="P7" s="7"/>
      <c r="Q7" s="7"/>
      <c r="R7" s="7">
        <f t="shared" si="1"/>
        <v>0</v>
      </c>
      <c r="S7" s="145">
        <f>R7*T14</f>
        <v>0</v>
      </c>
      <c r="T7" s="9">
        <f>SUM(S7/T15)</f>
        <v>0</v>
      </c>
      <c r="U7" s="151" t="e">
        <f t="shared" si="2"/>
        <v>#DIV/0!</v>
      </c>
      <c r="V7" s="27" t="e">
        <f t="shared" si="3"/>
        <v>#DIV/0!</v>
      </c>
      <c r="W7" s="7">
        <f t="shared" si="4"/>
        <v>0</v>
      </c>
      <c r="X7" s="8"/>
      <c r="Y7" s="3">
        <f>M46</f>
        <v>217.92039999999994</v>
      </c>
      <c r="Z7" s="3">
        <f>AA5</f>
        <v>11211.120000000003</v>
      </c>
      <c r="AA7" s="124">
        <f>Z7-Y7</f>
        <v>10993.199600000004</v>
      </c>
    </row>
    <row r="8" spans="1:27">
      <c r="A8" s="94" t="s">
        <v>196</v>
      </c>
      <c r="B8" s="94" t="s">
        <v>195</v>
      </c>
      <c r="C8" s="18">
        <v>1.9</v>
      </c>
      <c r="D8" s="18">
        <v>8</v>
      </c>
      <c r="E8" s="7">
        <f t="shared" si="0"/>
        <v>15.2</v>
      </c>
      <c r="F8" s="7">
        <f>E8*1.23</f>
        <v>18.695999999999998</v>
      </c>
      <c r="G8" s="7">
        <f>F8-E8</f>
        <v>3.4959999999999987</v>
      </c>
      <c r="H8" s="3"/>
      <c r="I8" s="5"/>
      <c r="J8" s="6"/>
      <c r="K8" s="7">
        <v>0</v>
      </c>
      <c r="L8" s="7">
        <f>SUM(E14)</f>
        <v>0</v>
      </c>
      <c r="M8" s="7">
        <f>SUM(E12)</f>
        <v>0</v>
      </c>
      <c r="N8" s="7">
        <f>SUM(E13)</f>
        <v>0</v>
      </c>
      <c r="O8" s="7">
        <v>0</v>
      </c>
      <c r="P8" s="7"/>
      <c r="Q8" s="7"/>
      <c r="R8" s="7">
        <f t="shared" si="1"/>
        <v>0</v>
      </c>
      <c r="S8" s="145">
        <f>R8*T14</f>
        <v>0</v>
      </c>
      <c r="T8" s="9">
        <f>SUM(S8/T15)</f>
        <v>0</v>
      </c>
      <c r="U8" s="151" t="e">
        <f t="shared" si="2"/>
        <v>#DIV/0!</v>
      </c>
      <c r="V8" s="27" t="e">
        <f t="shared" si="3"/>
        <v>#DIV/0!</v>
      </c>
      <c r="W8" s="7">
        <f t="shared" si="4"/>
        <v>0</v>
      </c>
      <c r="X8" s="8"/>
      <c r="Y8" s="1"/>
      <c r="Z8" s="1"/>
      <c r="AA8" s="1"/>
    </row>
    <row r="9" spans="1:27" ht="14.25" customHeight="1">
      <c r="A9" s="92"/>
      <c r="B9" s="29"/>
      <c r="C9" s="18">
        <v>0</v>
      </c>
      <c r="D9" s="18">
        <v>1</v>
      </c>
      <c r="E9" s="32">
        <f t="shared" si="0"/>
        <v>0</v>
      </c>
      <c r="F9" s="32">
        <f>E9*1.23</f>
        <v>0</v>
      </c>
      <c r="G9" s="32">
        <f>F9-E9</f>
        <v>0</v>
      </c>
      <c r="H9" s="3"/>
      <c r="I9" s="5"/>
      <c r="J9" s="6"/>
      <c r="K9" s="7">
        <v>0</v>
      </c>
      <c r="L9" s="7">
        <f>SUM(E17)</f>
        <v>0</v>
      </c>
      <c r="M9" s="7">
        <f>SUM(E15)</f>
        <v>0</v>
      </c>
      <c r="N9" s="7">
        <f>SUM(E16)</f>
        <v>0</v>
      </c>
      <c r="O9" s="7">
        <v>0</v>
      </c>
      <c r="P9" s="7"/>
      <c r="Q9" s="7"/>
      <c r="R9" s="7">
        <f t="shared" si="1"/>
        <v>0</v>
      </c>
      <c r="S9" s="145">
        <f>R9*T14</f>
        <v>0</v>
      </c>
      <c r="T9" s="9">
        <f>SUM(S9/T15)</f>
        <v>0</v>
      </c>
      <c r="U9" s="151" t="e">
        <f t="shared" si="2"/>
        <v>#DIV/0!</v>
      </c>
      <c r="V9" s="27" t="e">
        <f t="shared" si="3"/>
        <v>#DIV/0!</v>
      </c>
      <c r="W9" s="7">
        <f t="shared" si="4"/>
        <v>0</v>
      </c>
      <c r="X9" s="1"/>
      <c r="Y9" s="1"/>
      <c r="Z9" s="1" t="s">
        <v>20</v>
      </c>
      <c r="AA9" s="2" t="s">
        <v>13</v>
      </c>
    </row>
    <row r="10" spans="1:27" ht="15" customHeight="1">
      <c r="A10" s="92"/>
      <c r="B10" s="29"/>
      <c r="C10" s="21">
        <v>0</v>
      </c>
      <c r="D10" s="21">
        <v>1</v>
      </c>
      <c r="E10" s="7">
        <f t="shared" si="0"/>
        <v>0</v>
      </c>
      <c r="F10" s="7">
        <f t="shared" si="5"/>
        <v>0</v>
      </c>
      <c r="G10" s="7">
        <f t="shared" si="6"/>
        <v>0</v>
      </c>
      <c r="H10" s="3"/>
      <c r="I10" s="5"/>
      <c r="J10" s="6"/>
      <c r="K10" s="7">
        <v>0</v>
      </c>
      <c r="L10" s="7">
        <f>SUM(E20)</f>
        <v>0</v>
      </c>
      <c r="M10" s="7">
        <f>SUM(E18)</f>
        <v>0</v>
      </c>
      <c r="N10" s="7">
        <f>SUM(E19)</f>
        <v>0</v>
      </c>
      <c r="O10" s="7">
        <v>0</v>
      </c>
      <c r="P10" s="7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58789.719600000004</v>
      </c>
      <c r="AA10" s="90">
        <f>AA3+AA7</f>
        <v>20074.538400000005</v>
      </c>
    </row>
    <row r="11" spans="1:27" ht="15.75" customHeight="1">
      <c r="A11" s="94"/>
      <c r="B11" s="94"/>
      <c r="C11" s="18">
        <v>0</v>
      </c>
      <c r="D11" s="18">
        <v>1</v>
      </c>
      <c r="E11" s="7">
        <f t="shared" si="0"/>
        <v>0</v>
      </c>
      <c r="F11" s="7">
        <f t="shared" si="5"/>
        <v>0</v>
      </c>
      <c r="G11" s="7">
        <f t="shared" si="6"/>
        <v>0</v>
      </c>
      <c r="H11" s="3"/>
      <c r="I11" s="5"/>
      <c r="J11" s="6"/>
      <c r="K11" s="7"/>
      <c r="L11" s="7"/>
      <c r="M11" s="7"/>
      <c r="N11" s="7"/>
      <c r="O11" s="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92"/>
      <c r="B12" s="29"/>
      <c r="C12" s="18">
        <v>0</v>
      </c>
      <c r="D12" s="18">
        <v>1</v>
      </c>
      <c r="E12" s="7">
        <f t="shared" si="0"/>
        <v>0</v>
      </c>
      <c r="F12" s="7">
        <f t="shared" si="5"/>
        <v>0</v>
      </c>
      <c r="G12" s="7">
        <f t="shared" si="6"/>
        <v>0</v>
      </c>
      <c r="H12" s="3"/>
      <c r="I12" s="5"/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>
      <c r="A13" s="92"/>
      <c r="B13" s="29"/>
      <c r="C13" s="21">
        <v>0</v>
      </c>
      <c r="D13" s="21">
        <v>1</v>
      </c>
      <c r="E13" s="7">
        <f t="shared" si="0"/>
        <v>0</v>
      </c>
      <c r="F13" s="7">
        <f t="shared" si="5"/>
        <v>0</v>
      </c>
      <c r="G13" s="7">
        <f t="shared" si="6"/>
        <v>0</v>
      </c>
      <c r="H13" s="3"/>
      <c r="Q13" s="10"/>
      <c r="T13" s="1"/>
      <c r="V13" s="1" t="s">
        <v>96</v>
      </c>
      <c r="W13" s="72">
        <f>SUM(W5:W12)</f>
        <v>48744</v>
      </c>
      <c r="X13" s="1"/>
      <c r="Y13" s="1"/>
      <c r="Z13" s="122">
        <f>Z10-AA10</f>
        <v>38715.181199999999</v>
      </c>
      <c r="AA13" s="123"/>
    </row>
    <row r="14" spans="1:27" ht="15.75" thickBot="1">
      <c r="A14" s="94"/>
      <c r="B14" s="94"/>
      <c r="C14" s="18">
        <v>0</v>
      </c>
      <c r="D14" s="18">
        <v>1</v>
      </c>
      <c r="E14" s="7">
        <f>C14*D14</f>
        <v>0</v>
      </c>
      <c r="F14" s="7">
        <f t="shared" si="5"/>
        <v>0</v>
      </c>
      <c r="G14" s="7">
        <f t="shared" si="6"/>
        <v>0</v>
      </c>
      <c r="H14" s="1"/>
      <c r="Q14" s="10"/>
      <c r="S14" s="157" t="s">
        <v>191</v>
      </c>
      <c r="T14" s="156">
        <v>1.5</v>
      </c>
      <c r="U14" s="156"/>
      <c r="V14" s="156"/>
      <c r="W14" s="72">
        <f>SUM(W13*1.23)</f>
        <v>59955.12</v>
      </c>
      <c r="X14" s="1"/>
      <c r="Y14" s="366" t="s">
        <v>178</v>
      </c>
      <c r="Z14" s="146">
        <f>Z13*0.2</f>
        <v>7743.0362400000004</v>
      </c>
      <c r="AA14" s="1">
        <f>Z13/ (W4)</f>
        <v>387.15181200000001</v>
      </c>
    </row>
    <row r="15" spans="1:27" ht="13.5" thickBot="1">
      <c r="A15" s="92"/>
      <c r="B15" s="29"/>
      <c r="C15" s="18">
        <v>0</v>
      </c>
      <c r="D15" s="18">
        <v>1</v>
      </c>
      <c r="E15" s="7">
        <f t="shared" si="0"/>
        <v>0</v>
      </c>
      <c r="F15" s="7">
        <f t="shared" si="5"/>
        <v>0</v>
      </c>
      <c r="G15" s="7">
        <f t="shared" si="6"/>
        <v>0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366"/>
      <c r="Z15" s="1"/>
      <c r="AA15" s="1"/>
    </row>
    <row r="16" spans="1:27" ht="15.75" thickBot="1">
      <c r="A16" s="92"/>
      <c r="B16" s="29"/>
      <c r="C16" s="21">
        <v>0</v>
      </c>
      <c r="D16" s="21">
        <v>1</v>
      </c>
      <c r="E16" s="7">
        <f t="shared" si="0"/>
        <v>0</v>
      </c>
      <c r="F16" s="7">
        <f t="shared" si="5"/>
        <v>0</v>
      </c>
      <c r="G16" s="7">
        <f t="shared" si="6"/>
        <v>0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179</v>
      </c>
      <c r="Z16" s="146">
        <f>Z13*0.8</f>
        <v>30972.144960000001</v>
      </c>
      <c r="AA16" s="1"/>
    </row>
    <row r="17" spans="1:27" ht="13.5" thickBot="1">
      <c r="A17" s="94"/>
      <c r="B17" s="94"/>
      <c r="C17" s="18">
        <v>0</v>
      </c>
      <c r="D17" s="18">
        <v>1</v>
      </c>
      <c r="E17" s="7">
        <f t="shared" si="0"/>
        <v>0</v>
      </c>
      <c r="F17" s="7">
        <f t="shared" si="5"/>
        <v>0</v>
      </c>
      <c r="G17" s="18">
        <f t="shared" si="6"/>
        <v>0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6"/>
      <c r="Z17" s="1"/>
      <c r="AA17" s="1"/>
    </row>
    <row r="18" spans="1:27" ht="15.75" thickBot="1">
      <c r="A18" s="92"/>
      <c r="B18" s="29"/>
      <c r="C18" s="18">
        <v>0</v>
      </c>
      <c r="D18" s="18">
        <v>1</v>
      </c>
      <c r="E18" s="7">
        <f t="shared" si="0"/>
        <v>0</v>
      </c>
      <c r="F18" s="7">
        <f t="shared" si="5"/>
        <v>0</v>
      </c>
      <c r="G18" s="6">
        <f t="shared" si="6"/>
        <v>0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366"/>
      <c r="Z18" s="146"/>
      <c r="AA18" s="1"/>
    </row>
    <row r="19" spans="1:27" ht="13.5" thickBot="1">
      <c r="A19" s="92"/>
      <c r="B19" s="29"/>
      <c r="C19" s="21">
        <v>0</v>
      </c>
      <c r="D19" s="21">
        <v>1</v>
      </c>
      <c r="E19" s="7">
        <f t="shared" si="0"/>
        <v>0</v>
      </c>
      <c r="F19" s="7">
        <f t="shared" si="5"/>
        <v>0</v>
      </c>
      <c r="G19" s="6">
        <f t="shared" si="6"/>
        <v>0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366"/>
      <c r="Z19" s="1"/>
      <c r="AA19" s="1"/>
    </row>
    <row r="20" spans="1:27">
      <c r="A20" s="94"/>
      <c r="B20" s="94"/>
      <c r="C20" s="18">
        <v>0</v>
      </c>
      <c r="D20" s="18">
        <v>1</v>
      </c>
      <c r="E20" s="7">
        <f t="shared" si="0"/>
        <v>0</v>
      </c>
      <c r="F20" s="7">
        <f t="shared" si="5"/>
        <v>0</v>
      </c>
      <c r="G20" s="6">
        <f t="shared" si="6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96" t="s">
        <v>193</v>
      </c>
      <c r="B21" s="6"/>
      <c r="C21" s="6">
        <v>0</v>
      </c>
      <c r="D21" s="6">
        <v>1</v>
      </c>
      <c r="E21" s="7">
        <f t="shared" si="0"/>
        <v>0</v>
      </c>
      <c r="F21" s="7">
        <f t="shared" si="5"/>
        <v>0</v>
      </c>
      <c r="G21" s="6">
        <f t="shared" si="6"/>
        <v>0</v>
      </c>
      <c r="H21" s="1"/>
      <c r="I21" s="1"/>
      <c r="J21" s="1"/>
      <c r="K21" s="1"/>
      <c r="L21" s="1"/>
      <c r="M21" s="1"/>
      <c r="N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A22" s="96"/>
      <c r="B22" s="6" t="s">
        <v>18</v>
      </c>
      <c r="C22" s="6"/>
      <c r="D22" s="6"/>
      <c r="E22" s="7">
        <f>SUM(E3:E21)</f>
        <v>164.95999999999998</v>
      </c>
      <c r="F22" s="7">
        <f>SUM(F3:F21)</f>
        <v>202.9008</v>
      </c>
      <c r="G22" s="7">
        <f>SUM(G3:G21)</f>
        <v>37.940799999999996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</row>
    <row r="26" spans="1:27">
      <c r="A26" s="98"/>
      <c r="B26" s="33"/>
      <c r="C26" s="105"/>
      <c r="D26" s="105"/>
      <c r="E26" s="104"/>
      <c r="F26" s="102"/>
      <c r="G26" s="104"/>
      <c r="H26" s="1"/>
      <c r="I26" s="6"/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5</v>
      </c>
      <c r="K27" s="7">
        <f t="shared" si="10"/>
        <v>6.15</v>
      </c>
      <c r="L27" s="7">
        <f t="shared" si="11"/>
        <v>1.1500000000000004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88</v>
      </c>
      <c r="J28" s="7">
        <v>0</v>
      </c>
      <c r="K28" s="7">
        <f>J28*1.23</f>
        <v>0</v>
      </c>
      <c r="L28" s="7">
        <f t="shared" si="11"/>
        <v>0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174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/>
      <c r="J30" s="7">
        <v>0</v>
      </c>
      <c r="K30" s="7">
        <f t="shared" si="10"/>
        <v>0</v>
      </c>
      <c r="L30" s="7">
        <f t="shared" si="11"/>
        <v>0</v>
      </c>
      <c r="M30" s="13"/>
      <c r="N30" s="55">
        <f>SUM(J24:J32)</f>
        <v>40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/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187</v>
      </c>
      <c r="J32" s="7">
        <v>30</v>
      </c>
      <c r="K32" s="7">
        <f>J32*1.23</f>
        <v>36.9</v>
      </c>
      <c r="L32" s="7">
        <f>K32-J32</f>
        <v>6.8999999999999986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199</v>
      </c>
      <c r="J37" s="41">
        <v>1</v>
      </c>
      <c r="K37" s="42">
        <v>827.48</v>
      </c>
      <c r="L37" s="42">
        <f t="shared" ref="L37:L45" si="12">K37*1.23</f>
        <v>1017.8004</v>
      </c>
      <c r="M37" s="43">
        <f t="shared" ref="M37:M45" si="13">L37-K37</f>
        <v>190.32039999999995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196</v>
      </c>
      <c r="J38" s="18">
        <v>2</v>
      </c>
      <c r="K38" s="9">
        <v>120</v>
      </c>
      <c r="L38" s="9">
        <f t="shared" si="12"/>
        <v>147.6</v>
      </c>
      <c r="M38" s="7">
        <f t="shared" si="13"/>
        <v>27.599999999999994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>
        <v>0</v>
      </c>
      <c r="L39" s="9">
        <v>0</v>
      </c>
      <c r="M39" s="7"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9">
        <v>0</v>
      </c>
      <c r="M40" s="7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9">
        <f t="shared" si="12"/>
        <v>0</v>
      </c>
      <c r="M41" s="7">
        <f t="shared" si="13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9">
        <f t="shared" si="12"/>
        <v>0</v>
      </c>
      <c r="M42" s="7">
        <f t="shared" si="13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9">
        <f t="shared" si="12"/>
        <v>0</v>
      </c>
      <c r="M43" s="7">
        <f t="shared" si="13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9">
        <f t="shared" si="12"/>
        <v>0</v>
      </c>
      <c r="M44" s="7">
        <f t="shared" si="13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37">
        <f t="shared" si="12"/>
        <v>0</v>
      </c>
      <c r="M45" s="38">
        <f t="shared" si="13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947.48</v>
      </c>
      <c r="L46" s="76">
        <f>SUM(L37:L45)</f>
        <v>1165.4004</v>
      </c>
      <c r="M46" s="40">
        <f>SUM(M37:M45)</f>
        <v>217.92039999999994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98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947.48</v>
      </c>
      <c r="K50" s="7">
        <f>L46</f>
        <v>1165.4004</v>
      </c>
      <c r="L50" s="7">
        <f>M46</f>
        <v>217.92039999999994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-947.48</v>
      </c>
      <c r="K51" s="149">
        <f>K49-K50</f>
        <v>-1165.4004</v>
      </c>
      <c r="L51" s="150">
        <f>L49-L50</f>
        <v>-217.92039999999994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5">
    <mergeCell ref="Y1:AA1"/>
    <mergeCell ref="Y14:Y15"/>
    <mergeCell ref="Y16:Y17"/>
    <mergeCell ref="Y18:Y19"/>
    <mergeCell ref="I22:L2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zoomScaleNormal="100" workbookViewId="0">
      <selection activeCell="B14" sqref="B14"/>
    </sheetView>
  </sheetViews>
  <sheetFormatPr defaultRowHeight="12.75"/>
  <cols>
    <col min="1" max="1" width="4.5703125" style="90" customWidth="1"/>
    <col min="2" max="2" width="25.140625" style="90" customWidth="1"/>
    <col min="3" max="5" width="7.42578125" style="90" customWidth="1"/>
    <col min="6" max="6" width="7" customWidth="1"/>
    <col min="7" max="7" width="7" style="90" customWidth="1"/>
    <col min="8" max="8" width="8.7109375" style="90" customWidth="1"/>
    <col min="9" max="9" width="8.28515625" style="90" customWidth="1"/>
    <col min="10" max="14" width="9.140625" style="90"/>
    <col min="15" max="15" width="10.85546875" style="90" customWidth="1"/>
    <col min="16" max="16" width="9.140625" style="90"/>
    <col min="17" max="17" width="25.5703125" style="90" bestFit="1" customWidth="1"/>
    <col min="18" max="18" width="13.140625" style="90" customWidth="1"/>
    <col min="19" max="19" width="16.140625" style="90" bestFit="1" customWidth="1"/>
    <col min="20" max="20" width="12.42578125" style="90" bestFit="1" customWidth="1"/>
    <col min="21" max="21" width="13.140625" style="90" customWidth="1"/>
    <col min="22" max="16384" width="9.140625" style="90"/>
  </cols>
  <sheetData>
    <row r="1" spans="1:25" ht="13.5" thickBot="1">
      <c r="C1" s="371" t="s">
        <v>245</v>
      </c>
      <c r="D1" s="371"/>
      <c r="E1" s="371"/>
      <c r="F1" s="371"/>
      <c r="G1" s="371"/>
      <c r="H1" s="371"/>
      <c r="I1" s="371" t="s">
        <v>255</v>
      </c>
      <c r="J1" s="371"/>
      <c r="K1" s="371"/>
      <c r="L1" s="371"/>
      <c r="M1" s="371"/>
      <c r="N1" s="371"/>
      <c r="O1" s="371"/>
      <c r="Y1" s="90">
        <v>1.23</v>
      </c>
    </row>
    <row r="2" spans="1:25" s="170" customFormat="1" ht="42.75" customHeight="1">
      <c r="A2" s="170" t="s">
        <v>240</v>
      </c>
      <c r="B2" s="171" t="s">
        <v>21</v>
      </c>
      <c r="C2" s="172" t="s">
        <v>246</v>
      </c>
      <c r="D2" s="173" t="s">
        <v>247</v>
      </c>
      <c r="E2" s="173" t="s">
        <v>253</v>
      </c>
      <c r="F2" s="173" t="s">
        <v>241</v>
      </c>
      <c r="G2" s="173" t="s">
        <v>242</v>
      </c>
      <c r="H2" s="174" t="s">
        <v>243</v>
      </c>
      <c r="I2" s="172" t="s">
        <v>244</v>
      </c>
      <c r="J2" s="173" t="s">
        <v>248</v>
      </c>
      <c r="K2" s="173" t="s">
        <v>249</v>
      </c>
      <c r="L2" s="173" t="s">
        <v>254</v>
      </c>
      <c r="M2" s="173" t="s">
        <v>250</v>
      </c>
      <c r="N2" s="173" t="s">
        <v>251</v>
      </c>
      <c r="O2" s="174" t="s">
        <v>252</v>
      </c>
      <c r="Q2" s="375" t="s">
        <v>31</v>
      </c>
      <c r="R2" s="377" t="s">
        <v>274</v>
      </c>
      <c r="S2" s="377"/>
      <c r="T2" s="378"/>
    </row>
    <row r="3" spans="1:25" s="125" customFormat="1" ht="15" thickBot="1">
      <c r="A3" s="125">
        <v>1</v>
      </c>
      <c r="B3" s="168" t="s">
        <v>215</v>
      </c>
      <c r="C3" s="175">
        <v>2</v>
      </c>
      <c r="F3" s="176">
        <v>1</v>
      </c>
      <c r="H3" s="177">
        <v>1.5</v>
      </c>
      <c r="I3" s="175">
        <v>10</v>
      </c>
      <c r="J3" s="194">
        <f t="shared" ref="J3:J9" si="0">I3*C3</f>
        <v>20</v>
      </c>
      <c r="K3" s="125">
        <f>I3*D3</f>
        <v>0</v>
      </c>
      <c r="L3" s="125">
        <f>I3*E3</f>
        <v>0</v>
      </c>
      <c r="M3" s="196">
        <f>I3*F3</f>
        <v>10</v>
      </c>
      <c r="N3" s="125">
        <f>I3*G3</f>
        <v>0</v>
      </c>
      <c r="O3" s="204">
        <f>I3*H3</f>
        <v>15</v>
      </c>
      <c r="Q3" s="376"/>
      <c r="R3" s="214" t="s">
        <v>21</v>
      </c>
      <c r="S3" s="214" t="s">
        <v>275</v>
      </c>
      <c r="T3" s="215" t="s">
        <v>276</v>
      </c>
      <c r="U3" s="125" t="s">
        <v>9</v>
      </c>
    </row>
    <row r="4" spans="1:25" s="125" customFormat="1" ht="14.25">
      <c r="A4" s="125">
        <v>2</v>
      </c>
      <c r="B4" s="168" t="s">
        <v>218</v>
      </c>
      <c r="C4" s="178">
        <v>4</v>
      </c>
      <c r="D4" s="163"/>
      <c r="E4" s="163">
        <v>1</v>
      </c>
      <c r="F4" s="176">
        <v>1</v>
      </c>
      <c r="H4" s="177">
        <v>1.5</v>
      </c>
      <c r="I4" s="175">
        <v>10</v>
      </c>
      <c r="J4" s="183">
        <f t="shared" si="0"/>
        <v>40</v>
      </c>
      <c r="K4" s="125">
        <f t="shared" ref="K4:K9" si="1">I4*D4</f>
        <v>0</v>
      </c>
      <c r="L4" s="186">
        <f t="shared" ref="L4:L9" si="2">I4*E4</f>
        <v>10</v>
      </c>
      <c r="M4" s="188">
        <f t="shared" ref="M4:M9" si="3">I4*F4</f>
        <v>10</v>
      </c>
      <c r="N4" s="125">
        <f t="shared" ref="N4:N9" si="4">I4*G4</f>
        <v>0</v>
      </c>
      <c r="O4" s="206">
        <f t="shared" ref="O4:O9" si="5">I4*H4</f>
        <v>15</v>
      </c>
      <c r="Q4" s="222" t="s">
        <v>290</v>
      </c>
      <c r="R4" s="223" t="s">
        <v>277</v>
      </c>
      <c r="S4" s="269" t="s">
        <v>278</v>
      </c>
      <c r="T4" s="264" t="s">
        <v>324</v>
      </c>
      <c r="U4" s="249">
        <v>1151.7</v>
      </c>
      <c r="V4" s="229"/>
    </row>
    <row r="5" spans="1:25" s="125" customFormat="1" ht="14.25">
      <c r="A5" s="125">
        <v>3</v>
      </c>
      <c r="B5" s="168" t="s">
        <v>219</v>
      </c>
      <c r="C5" s="175">
        <v>2</v>
      </c>
      <c r="E5" s="125">
        <v>1</v>
      </c>
      <c r="F5" s="33">
        <v>1</v>
      </c>
      <c r="H5" s="177">
        <v>1.5</v>
      </c>
      <c r="I5" s="175">
        <v>10</v>
      </c>
      <c r="J5" s="183">
        <f t="shared" si="0"/>
        <v>20</v>
      </c>
      <c r="K5" s="125">
        <f t="shared" si="1"/>
        <v>0</v>
      </c>
      <c r="L5" s="186">
        <f t="shared" si="2"/>
        <v>10</v>
      </c>
      <c r="M5" s="188">
        <f t="shared" si="3"/>
        <v>10</v>
      </c>
      <c r="N5" s="125">
        <f t="shared" si="4"/>
        <v>0</v>
      </c>
      <c r="O5" s="206">
        <f t="shared" si="5"/>
        <v>15</v>
      </c>
      <c r="Q5" s="216"/>
      <c r="R5" s="221" t="s">
        <v>279</v>
      </c>
      <c r="S5" s="270" t="s">
        <v>280</v>
      </c>
      <c r="T5" s="265" t="s">
        <v>296</v>
      </c>
      <c r="U5" s="249">
        <v>132</v>
      </c>
      <c r="V5" s="229"/>
    </row>
    <row r="6" spans="1:25" s="125" customFormat="1" ht="14.25">
      <c r="A6" s="125">
        <v>4</v>
      </c>
      <c r="B6" s="168" t="s">
        <v>220</v>
      </c>
      <c r="C6" s="175">
        <v>8</v>
      </c>
      <c r="E6" s="125">
        <v>1</v>
      </c>
      <c r="F6" s="33">
        <v>1</v>
      </c>
      <c r="H6" s="177">
        <v>1.5</v>
      </c>
      <c r="I6" s="175">
        <v>10</v>
      </c>
      <c r="J6" s="183">
        <f t="shared" si="0"/>
        <v>80</v>
      </c>
      <c r="K6" s="125">
        <f t="shared" si="1"/>
        <v>0</v>
      </c>
      <c r="L6" s="187">
        <f t="shared" si="2"/>
        <v>10</v>
      </c>
      <c r="M6" s="190">
        <f t="shared" si="3"/>
        <v>10</v>
      </c>
      <c r="N6" s="125">
        <f t="shared" si="4"/>
        <v>0</v>
      </c>
      <c r="O6" s="207">
        <f t="shared" si="5"/>
        <v>15</v>
      </c>
      <c r="Q6" s="216"/>
      <c r="R6" s="220" t="s">
        <v>281</v>
      </c>
      <c r="S6" s="263" t="s">
        <v>302</v>
      </c>
      <c r="T6" s="217" t="s">
        <v>295</v>
      </c>
      <c r="U6" s="249"/>
      <c r="V6" s="229"/>
    </row>
    <row r="7" spans="1:25" s="125" customFormat="1" ht="14.25">
      <c r="A7" s="125">
        <v>5</v>
      </c>
      <c r="B7" s="168" t="s">
        <v>221</v>
      </c>
      <c r="C7" s="178">
        <v>12</v>
      </c>
      <c r="D7" s="163"/>
      <c r="E7" s="163">
        <v>1</v>
      </c>
      <c r="F7" s="33">
        <v>1</v>
      </c>
      <c r="H7" s="177">
        <v>1.5</v>
      </c>
      <c r="I7" s="175">
        <v>10</v>
      </c>
      <c r="J7" s="183">
        <f t="shared" si="0"/>
        <v>120</v>
      </c>
      <c r="K7" s="125">
        <f t="shared" si="1"/>
        <v>0</v>
      </c>
      <c r="L7" s="187">
        <f t="shared" si="2"/>
        <v>10</v>
      </c>
      <c r="M7" s="190">
        <f t="shared" si="3"/>
        <v>10</v>
      </c>
      <c r="N7" s="125">
        <f t="shared" si="4"/>
        <v>0</v>
      </c>
      <c r="O7" s="210">
        <f t="shared" si="5"/>
        <v>15</v>
      </c>
      <c r="Q7" s="216"/>
      <c r="R7" s="220"/>
      <c r="S7" s="372"/>
      <c r="T7" s="373"/>
      <c r="U7" s="249"/>
      <c r="V7" s="229"/>
    </row>
    <row r="8" spans="1:25" s="125" customFormat="1" ht="14.25">
      <c r="A8" s="125">
        <v>6</v>
      </c>
      <c r="B8" s="168" t="s">
        <v>226</v>
      </c>
      <c r="C8" s="175"/>
      <c r="D8" s="125">
        <v>4</v>
      </c>
      <c r="F8" s="176">
        <v>1</v>
      </c>
      <c r="G8" s="125">
        <v>1</v>
      </c>
      <c r="H8" s="177">
        <v>10</v>
      </c>
      <c r="I8" s="175">
        <v>10</v>
      </c>
      <c r="J8" s="125">
        <f t="shared" si="0"/>
        <v>0</v>
      </c>
      <c r="K8" s="183">
        <f t="shared" si="1"/>
        <v>40</v>
      </c>
      <c r="L8" s="125">
        <f t="shared" si="2"/>
        <v>0</v>
      </c>
      <c r="M8" s="199">
        <f t="shared" si="3"/>
        <v>10</v>
      </c>
      <c r="N8" s="202">
        <f t="shared" si="4"/>
        <v>10</v>
      </c>
      <c r="O8" s="212">
        <f t="shared" si="5"/>
        <v>100</v>
      </c>
      <c r="Q8" s="216" t="s">
        <v>282</v>
      </c>
      <c r="R8" s="220" t="s">
        <v>277</v>
      </c>
      <c r="S8" s="263" t="s">
        <v>278</v>
      </c>
      <c r="T8" s="217" t="s">
        <v>295</v>
      </c>
      <c r="U8" s="249"/>
      <c r="V8" s="229"/>
    </row>
    <row r="9" spans="1:25" s="125" customFormat="1" ht="15" thickBot="1">
      <c r="A9" s="125">
        <v>7</v>
      </c>
      <c r="B9" s="168" t="s">
        <v>227</v>
      </c>
      <c r="C9" s="179">
        <v>8</v>
      </c>
      <c r="D9" s="181">
        <v>8</v>
      </c>
      <c r="E9" s="181">
        <v>1</v>
      </c>
      <c r="F9" s="180">
        <v>1</v>
      </c>
      <c r="G9" s="181">
        <v>1</v>
      </c>
      <c r="H9" s="182">
        <v>10</v>
      </c>
      <c r="I9" s="179">
        <v>10</v>
      </c>
      <c r="J9" s="184">
        <f t="shared" si="0"/>
        <v>80</v>
      </c>
      <c r="K9" s="185">
        <f t="shared" si="1"/>
        <v>80</v>
      </c>
      <c r="L9" s="192">
        <f t="shared" si="2"/>
        <v>10</v>
      </c>
      <c r="M9" s="227">
        <f t="shared" si="3"/>
        <v>10</v>
      </c>
      <c r="N9" s="197">
        <f t="shared" si="4"/>
        <v>10</v>
      </c>
      <c r="O9" s="213">
        <f t="shared" si="5"/>
        <v>100</v>
      </c>
      <c r="Q9" s="216"/>
      <c r="R9" s="221" t="s">
        <v>279</v>
      </c>
      <c r="S9" s="263" t="s">
        <v>280</v>
      </c>
      <c r="T9" s="217" t="s">
        <v>295</v>
      </c>
      <c r="U9" s="249"/>
      <c r="V9" s="229"/>
    </row>
    <row r="10" spans="1:25" s="125" customFormat="1" ht="14.25">
      <c r="B10" s="34"/>
      <c r="C10" s="163"/>
      <c r="D10" s="163"/>
      <c r="E10" s="163"/>
      <c r="F10" s="169"/>
      <c r="K10" s="164"/>
      <c r="L10" s="164"/>
      <c r="Q10" s="216"/>
      <c r="R10" s="220" t="s">
        <v>281</v>
      </c>
      <c r="S10" s="263" t="s">
        <v>302</v>
      </c>
      <c r="T10" s="217" t="s">
        <v>295</v>
      </c>
      <c r="U10" s="249"/>
      <c r="V10" s="229"/>
    </row>
    <row r="11" spans="1:25" s="125" customFormat="1" ht="14.25">
      <c r="B11" s="113"/>
      <c r="F11" s="169"/>
      <c r="Q11" s="216" t="s">
        <v>326</v>
      </c>
      <c r="R11" s="220"/>
      <c r="S11" s="379" t="s">
        <v>307</v>
      </c>
      <c r="T11" s="380"/>
      <c r="U11" s="249">
        <v>750.13</v>
      </c>
      <c r="V11" s="229"/>
    </row>
    <row r="12" spans="1:25" s="125" customFormat="1" ht="14.25">
      <c r="B12" s="34"/>
      <c r="F12" s="169"/>
      <c r="Q12" s="216" t="s">
        <v>283</v>
      </c>
      <c r="R12" s="220" t="s">
        <v>277</v>
      </c>
      <c r="S12" s="220" t="s">
        <v>300</v>
      </c>
      <c r="T12" s="217" t="s">
        <v>295</v>
      </c>
      <c r="U12" s="249"/>
      <c r="V12" s="229"/>
    </row>
    <row r="13" spans="1:25" s="125" customFormat="1" ht="23.25" customHeight="1">
      <c r="B13" s="239"/>
      <c r="C13" s="237" t="s">
        <v>323</v>
      </c>
      <c r="D13" s="226" t="s">
        <v>294</v>
      </c>
      <c r="E13" s="251" t="s">
        <v>319</v>
      </c>
      <c r="F13" s="374" t="s">
        <v>321</v>
      </c>
      <c r="G13" s="370"/>
      <c r="K13" s="164"/>
      <c r="L13" s="164"/>
      <c r="Q13" s="218"/>
      <c r="R13" s="221" t="s">
        <v>279</v>
      </c>
      <c r="S13" s="232" t="s">
        <v>301</v>
      </c>
      <c r="T13" s="265" t="s">
        <v>296</v>
      </c>
      <c r="U13" s="249">
        <v>159.19999999999999</v>
      </c>
      <c r="V13" s="229"/>
    </row>
    <row r="14" spans="1:25" s="125" customFormat="1" ht="14.25">
      <c r="B14" s="240" t="s">
        <v>256</v>
      </c>
      <c r="C14" s="241" t="s">
        <v>314</v>
      </c>
      <c r="D14" s="226">
        <v>400</v>
      </c>
      <c r="E14" s="241" t="s">
        <v>297</v>
      </c>
      <c r="F14" s="369">
        <v>0</v>
      </c>
      <c r="G14" s="369"/>
      <c r="Q14" s="218"/>
      <c r="R14" s="220" t="s">
        <v>281</v>
      </c>
      <c r="S14" s="220" t="s">
        <v>302</v>
      </c>
      <c r="T14" s="217" t="s">
        <v>295</v>
      </c>
      <c r="U14" s="249"/>
      <c r="V14" s="229"/>
    </row>
    <row r="15" spans="1:25" s="125" customFormat="1" ht="14.25">
      <c r="B15" s="240" t="s">
        <v>257</v>
      </c>
      <c r="C15" s="242" t="s">
        <v>260</v>
      </c>
      <c r="D15" s="226">
        <v>180</v>
      </c>
      <c r="E15" s="242" t="s">
        <v>297</v>
      </c>
      <c r="F15" s="369">
        <v>0</v>
      </c>
      <c r="G15" s="369"/>
      <c r="Q15" s="218"/>
      <c r="R15" s="220"/>
      <c r="S15" s="372"/>
      <c r="T15" s="373"/>
      <c r="U15" s="249"/>
      <c r="V15" s="229"/>
    </row>
    <row r="16" spans="1:25" s="125" customFormat="1" ht="14.25">
      <c r="B16" s="90" t="s">
        <v>258</v>
      </c>
      <c r="C16" s="243">
        <v>80</v>
      </c>
      <c r="D16" s="226">
        <v>180</v>
      </c>
      <c r="E16" s="243" t="s">
        <v>297</v>
      </c>
      <c r="F16" s="369">
        <v>0</v>
      </c>
      <c r="G16" s="369"/>
      <c r="Q16" s="216" t="s">
        <v>284</v>
      </c>
      <c r="R16" s="220" t="s">
        <v>277</v>
      </c>
      <c r="S16" s="220" t="s">
        <v>300</v>
      </c>
      <c r="T16" s="217" t="s">
        <v>295</v>
      </c>
      <c r="U16" s="249"/>
      <c r="V16" s="229"/>
    </row>
    <row r="17" spans="2:22" s="125" customFormat="1" ht="14.25">
      <c r="B17" s="90" t="s">
        <v>259</v>
      </c>
      <c r="C17" s="244" t="s">
        <v>316</v>
      </c>
      <c r="D17" s="226">
        <v>0</v>
      </c>
      <c r="E17" s="244" t="s">
        <v>316</v>
      </c>
      <c r="F17" s="369">
        <v>40</v>
      </c>
      <c r="G17" s="369"/>
      <c r="Q17" s="218"/>
      <c r="R17" s="221" t="s">
        <v>279</v>
      </c>
      <c r="S17" s="220" t="s">
        <v>301</v>
      </c>
      <c r="T17" s="217" t="s">
        <v>295</v>
      </c>
      <c r="U17" s="249"/>
      <c r="V17" s="229"/>
    </row>
    <row r="18" spans="2:22" s="125" customFormat="1" ht="14.25">
      <c r="B18" s="90" t="s">
        <v>261</v>
      </c>
      <c r="C18" s="245" t="s">
        <v>316</v>
      </c>
      <c r="D18" s="226">
        <v>0</v>
      </c>
      <c r="E18" s="245" t="s">
        <v>316</v>
      </c>
      <c r="F18" s="369">
        <v>40</v>
      </c>
      <c r="G18" s="369"/>
      <c r="Q18" s="218"/>
      <c r="R18" s="220" t="s">
        <v>281</v>
      </c>
      <c r="S18" s="220" t="s">
        <v>302</v>
      </c>
      <c r="T18" s="217" t="s">
        <v>295</v>
      </c>
      <c r="U18" s="249"/>
      <c r="V18" s="229"/>
    </row>
    <row r="19" spans="2:22" s="125" customFormat="1" ht="14.25">
      <c r="B19" s="90" t="s">
        <v>264</v>
      </c>
      <c r="C19" s="246" t="s">
        <v>317</v>
      </c>
      <c r="D19" s="226">
        <v>0</v>
      </c>
      <c r="E19" s="246" t="s">
        <v>317</v>
      </c>
      <c r="F19" s="369">
        <v>20</v>
      </c>
      <c r="G19" s="369"/>
      <c r="Q19" s="218"/>
      <c r="R19" s="220"/>
      <c r="S19" s="372"/>
      <c r="T19" s="373"/>
      <c r="U19" s="249"/>
      <c r="V19" s="229"/>
    </row>
    <row r="20" spans="2:22" s="126" customFormat="1" ht="14.25">
      <c r="B20" s="90" t="s">
        <v>262</v>
      </c>
      <c r="C20" s="189" t="s">
        <v>318</v>
      </c>
      <c r="D20" s="226">
        <v>0</v>
      </c>
      <c r="E20" s="189" t="s">
        <v>318</v>
      </c>
      <c r="F20" s="369">
        <v>60</v>
      </c>
      <c r="G20" s="369"/>
      <c r="Q20" s="216" t="s">
        <v>285</v>
      </c>
      <c r="R20" s="220" t="s">
        <v>286</v>
      </c>
      <c r="S20" s="220" t="s">
        <v>278</v>
      </c>
      <c r="T20" s="217" t="s">
        <v>295</v>
      </c>
      <c r="U20" s="250"/>
      <c r="V20" s="230"/>
    </row>
    <row r="21" spans="2:22" s="126" customFormat="1" ht="14.25">
      <c r="B21" s="90" t="s">
        <v>263</v>
      </c>
      <c r="C21" s="191" t="s">
        <v>316</v>
      </c>
      <c r="D21" s="226">
        <v>40</v>
      </c>
      <c r="E21" s="191" t="s">
        <v>316</v>
      </c>
      <c r="F21" s="369">
        <v>0</v>
      </c>
      <c r="G21" s="369"/>
      <c r="Q21" s="218"/>
      <c r="R21" s="221" t="s">
        <v>279</v>
      </c>
      <c r="S21" s="270" t="s">
        <v>299</v>
      </c>
      <c r="T21" s="265" t="s">
        <v>325</v>
      </c>
      <c r="U21" s="250">
        <v>78.8</v>
      </c>
      <c r="V21" s="230"/>
    </row>
    <row r="22" spans="2:22" s="126" customFormat="1" ht="14.25">
      <c r="B22" s="126" t="s">
        <v>265</v>
      </c>
      <c r="C22" s="193" t="s">
        <v>316</v>
      </c>
      <c r="D22" s="226">
        <v>40</v>
      </c>
      <c r="E22" s="193" t="s">
        <v>316</v>
      </c>
      <c r="F22" s="369">
        <v>0</v>
      </c>
      <c r="G22" s="369"/>
      <c r="Q22" s="218"/>
      <c r="R22" s="220" t="s">
        <v>281</v>
      </c>
      <c r="S22" s="232" t="s">
        <v>287</v>
      </c>
      <c r="T22" s="217" t="s">
        <v>295</v>
      </c>
      <c r="U22" s="250"/>
      <c r="V22" s="230"/>
    </row>
    <row r="23" spans="2:22" s="126" customFormat="1" ht="14.25">
      <c r="B23" s="126" t="s">
        <v>266</v>
      </c>
      <c r="C23" s="195" t="s">
        <v>317</v>
      </c>
      <c r="D23" s="226" t="s">
        <v>315</v>
      </c>
      <c r="E23" s="195" t="s">
        <v>317</v>
      </c>
      <c r="F23" s="369">
        <v>20</v>
      </c>
      <c r="G23" s="369"/>
      <c r="Q23" s="218"/>
      <c r="R23" s="220"/>
      <c r="S23" s="372"/>
      <c r="T23" s="373"/>
      <c r="U23" s="250"/>
      <c r="V23" s="230"/>
    </row>
    <row r="24" spans="2:22" s="126" customFormat="1" ht="14.25">
      <c r="B24" s="126" t="s">
        <v>267</v>
      </c>
      <c r="C24" s="198" t="s">
        <v>317</v>
      </c>
      <c r="D24" s="226" t="s">
        <v>315</v>
      </c>
      <c r="E24" s="198" t="s">
        <v>317</v>
      </c>
      <c r="F24" s="369">
        <v>20</v>
      </c>
      <c r="G24" s="369"/>
      <c r="Q24" s="218"/>
      <c r="R24" s="263" t="s">
        <v>136</v>
      </c>
      <c r="S24" s="271" t="s">
        <v>303</v>
      </c>
      <c r="T24" s="266" t="s">
        <v>325</v>
      </c>
      <c r="U24" s="250">
        <v>926.68</v>
      </c>
      <c r="V24" s="230"/>
    </row>
    <row r="25" spans="2:22" s="126" customFormat="1" ht="14.25">
      <c r="B25" s="126" t="s">
        <v>268</v>
      </c>
      <c r="C25" s="200" t="s">
        <v>317</v>
      </c>
      <c r="D25" s="226" t="s">
        <v>315</v>
      </c>
      <c r="E25" s="200" t="s">
        <v>317</v>
      </c>
      <c r="F25" s="369">
        <v>20</v>
      </c>
      <c r="G25" s="369"/>
      <c r="Q25" s="218"/>
      <c r="R25" s="263" t="s">
        <v>281</v>
      </c>
      <c r="S25" s="233" t="s">
        <v>304</v>
      </c>
      <c r="T25" s="228" t="s">
        <v>295</v>
      </c>
      <c r="U25" s="250"/>
      <c r="V25" s="230"/>
    </row>
    <row r="26" spans="2:22" s="126" customFormat="1" ht="14.25">
      <c r="B26" s="126" t="s">
        <v>269</v>
      </c>
      <c r="C26" s="201" t="s">
        <v>317</v>
      </c>
      <c r="D26" s="226" t="s">
        <v>315</v>
      </c>
      <c r="E26" s="201" t="s">
        <v>317</v>
      </c>
      <c r="F26" s="369">
        <v>20</v>
      </c>
      <c r="G26" s="369"/>
      <c r="Q26" s="218"/>
      <c r="R26" s="263"/>
      <c r="S26" s="372"/>
      <c r="T26" s="373"/>
      <c r="U26" s="250"/>
      <c r="V26" s="230"/>
    </row>
    <row r="27" spans="2:22" s="126" customFormat="1" ht="14.25">
      <c r="B27" s="237" t="s">
        <v>309</v>
      </c>
      <c r="E27" s="272" t="s">
        <v>327</v>
      </c>
      <c r="F27" s="370"/>
      <c r="G27" s="370"/>
      <c r="K27" s="127"/>
      <c r="L27" s="127"/>
      <c r="Q27" s="216" t="s">
        <v>288</v>
      </c>
      <c r="R27" s="220" t="s">
        <v>15</v>
      </c>
      <c r="S27" s="232" t="s">
        <v>289</v>
      </c>
      <c r="T27" s="268">
        <v>20</v>
      </c>
      <c r="U27" s="250">
        <v>1469</v>
      </c>
      <c r="V27" s="230"/>
    </row>
    <row r="28" spans="2:22" s="126" customFormat="1" ht="14.25">
      <c r="B28" s="236" t="s">
        <v>271</v>
      </c>
      <c r="C28" s="203" t="s">
        <v>320</v>
      </c>
      <c r="D28" s="238" t="s">
        <v>328</v>
      </c>
      <c r="E28" s="274">
        <v>30</v>
      </c>
      <c r="F28" s="360" t="s">
        <v>330</v>
      </c>
      <c r="G28" s="369"/>
      <c r="H28" s="126">
        <f>SUM(E28*7.65)</f>
        <v>229.5</v>
      </c>
      <c r="Q28" s="218"/>
      <c r="R28" s="220" t="s">
        <v>281</v>
      </c>
      <c r="S28" s="220" t="s">
        <v>298</v>
      </c>
      <c r="T28" s="217" t="s">
        <v>295</v>
      </c>
      <c r="U28" s="250"/>
      <c r="V28" s="230"/>
    </row>
    <row r="29" spans="2:22" s="126" customFormat="1" ht="14.25">
      <c r="B29" s="236" t="s">
        <v>270</v>
      </c>
      <c r="C29" s="205" t="s">
        <v>306</v>
      </c>
      <c r="D29" s="238" t="s">
        <v>328</v>
      </c>
      <c r="E29" s="275">
        <v>30</v>
      </c>
      <c r="F29" s="369" t="s">
        <v>330</v>
      </c>
      <c r="G29" s="369"/>
      <c r="H29" s="126">
        <f>SUM(E29*15.68)</f>
        <v>470.4</v>
      </c>
      <c r="Q29" s="218"/>
      <c r="R29" s="220"/>
      <c r="S29" s="372"/>
      <c r="T29" s="373"/>
      <c r="U29" s="250"/>
      <c r="V29" s="230"/>
    </row>
    <row r="30" spans="2:22" s="126" customFormat="1" ht="14.25">
      <c r="B30" s="236" t="s">
        <v>272</v>
      </c>
      <c r="C30" s="208" t="s">
        <v>320</v>
      </c>
      <c r="D30" s="238" t="s">
        <v>328</v>
      </c>
      <c r="E30" s="276">
        <v>30</v>
      </c>
      <c r="F30" s="369" t="s">
        <v>330</v>
      </c>
      <c r="G30" s="369"/>
      <c r="H30" s="126">
        <f>SUM(E30*19.63)</f>
        <v>588.9</v>
      </c>
      <c r="Q30" s="218"/>
      <c r="R30" s="263" t="s">
        <v>136</v>
      </c>
      <c r="S30" s="271" t="s">
        <v>305</v>
      </c>
      <c r="T30" s="266" t="s">
        <v>325</v>
      </c>
      <c r="U30" s="250">
        <v>988.46</v>
      </c>
      <c r="V30" s="230"/>
    </row>
    <row r="31" spans="2:22" s="126" customFormat="1" ht="14.25">
      <c r="B31" s="236" t="s">
        <v>313</v>
      </c>
      <c r="C31" s="209" t="s">
        <v>320</v>
      </c>
      <c r="D31" s="238" t="s">
        <v>328</v>
      </c>
      <c r="E31" s="277">
        <v>30</v>
      </c>
      <c r="F31" s="369">
        <v>15</v>
      </c>
      <c r="G31" s="369"/>
      <c r="H31" s="126">
        <f>SUM(E31*32.73)</f>
        <v>981.89999999999986</v>
      </c>
      <c r="Q31" s="218"/>
      <c r="R31" s="263"/>
      <c r="S31" s="372"/>
      <c r="T31" s="373"/>
      <c r="U31" s="250"/>
      <c r="V31" s="230"/>
    </row>
    <row r="32" spans="2:22" s="126" customFormat="1" ht="14.25">
      <c r="B32" s="236" t="s">
        <v>273</v>
      </c>
      <c r="C32" s="211" t="s">
        <v>307</v>
      </c>
      <c r="D32" s="238" t="s">
        <v>329</v>
      </c>
      <c r="E32" s="278">
        <v>50</v>
      </c>
      <c r="F32" s="369" t="s">
        <v>331</v>
      </c>
      <c r="G32" s="369"/>
      <c r="I32" s="126">
        <v>25.78</v>
      </c>
      <c r="Q32" s="216" t="s">
        <v>291</v>
      </c>
      <c r="R32" s="220" t="s">
        <v>214</v>
      </c>
      <c r="S32" s="232" t="s">
        <v>293</v>
      </c>
      <c r="T32" s="265" t="s">
        <v>325</v>
      </c>
      <c r="U32" s="250">
        <v>35.4</v>
      </c>
      <c r="V32" s="230"/>
    </row>
    <row r="33" spans="2:22" ht="15" thickBot="1">
      <c r="B33" s="236" t="s">
        <v>310</v>
      </c>
      <c r="C33" s="252" t="s">
        <v>307</v>
      </c>
      <c r="D33" s="238" t="s">
        <v>328</v>
      </c>
      <c r="E33" s="279">
        <v>50</v>
      </c>
      <c r="F33" s="369" t="s">
        <v>330</v>
      </c>
      <c r="G33" s="369"/>
      <c r="H33" s="126">
        <f>SUM(E33*17.33)</f>
        <v>866.49999999999989</v>
      </c>
      <c r="Q33" s="219"/>
      <c r="R33" s="224" t="s">
        <v>281</v>
      </c>
      <c r="S33" s="234" t="s">
        <v>292</v>
      </c>
      <c r="T33" s="225" t="s">
        <v>295</v>
      </c>
      <c r="U33" s="267"/>
      <c r="V33" s="231"/>
    </row>
    <row r="34" spans="2:22">
      <c r="B34" s="236" t="s">
        <v>308</v>
      </c>
      <c r="C34" s="273" t="s">
        <v>224</v>
      </c>
      <c r="D34" s="238" t="s">
        <v>328</v>
      </c>
      <c r="E34" s="238">
        <v>30</v>
      </c>
      <c r="F34" s="369" t="s">
        <v>330</v>
      </c>
      <c r="G34" s="369"/>
      <c r="H34" s="126">
        <f>SUM(E34*24.23)</f>
        <v>726.9</v>
      </c>
      <c r="U34" s="235"/>
    </row>
    <row r="35" spans="2:22">
      <c r="B35" s="126"/>
      <c r="D35" s="238"/>
      <c r="G35" s="90" t="s">
        <v>22</v>
      </c>
      <c r="H35" s="90">
        <f>SUM(H28:H34)</f>
        <v>3864.1</v>
      </c>
      <c r="T35" s="90" t="s">
        <v>311</v>
      </c>
      <c r="U35" s="247">
        <f>SUM(U4:U33)</f>
        <v>5691.37</v>
      </c>
    </row>
    <row r="36" spans="2:22">
      <c r="D36" s="238"/>
      <c r="G36" s="90" t="s">
        <v>23</v>
      </c>
      <c r="H36" s="90">
        <f>SUM(H35*1.23)</f>
        <v>4752.8429999999998</v>
      </c>
      <c r="T36" s="90" t="s">
        <v>312</v>
      </c>
      <c r="U36" s="248">
        <f>U35*Y1</f>
        <v>7000.3850999999995</v>
      </c>
    </row>
    <row r="37" spans="2:22">
      <c r="D37" s="238"/>
    </row>
    <row r="38" spans="2:22">
      <c r="D38" s="238"/>
    </row>
    <row r="39" spans="2:22">
      <c r="D39" s="238"/>
    </row>
  </sheetData>
  <mergeCells count="34">
    <mergeCell ref="S31:T31"/>
    <mergeCell ref="Q2:Q3"/>
    <mergeCell ref="R2:T2"/>
    <mergeCell ref="S7:T7"/>
    <mergeCell ref="S11:T11"/>
    <mergeCell ref="S15:T15"/>
    <mergeCell ref="S19:T19"/>
    <mergeCell ref="C1:H1"/>
    <mergeCell ref="I1:O1"/>
    <mergeCell ref="S23:T23"/>
    <mergeCell ref="S26:T26"/>
    <mergeCell ref="S29:T29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8:G28"/>
    <mergeCell ref="F27:G27"/>
    <mergeCell ref="F34:G34"/>
    <mergeCell ref="F29:G29"/>
    <mergeCell ref="F30:G30"/>
    <mergeCell ref="F31:G31"/>
    <mergeCell ref="F32:G32"/>
    <mergeCell ref="F33:G33"/>
  </mergeCells>
  <hyperlinks>
    <hyperlink ref="S4" r:id="rId1"/>
    <hyperlink ref="S5" r:id="rId2"/>
    <hyperlink ref="S13" r:id="rId3"/>
    <hyperlink ref="S21" r:id="rId4"/>
    <hyperlink ref="S22" r:id="rId5"/>
    <hyperlink ref="S24" r:id="rId6"/>
    <hyperlink ref="S25" r:id="rId7"/>
    <hyperlink ref="S27" r:id="rId8"/>
    <hyperlink ref="S30" r:id="rId9"/>
    <hyperlink ref="S32" r:id="rId10"/>
    <hyperlink ref="S33" r:id="rId11"/>
    <hyperlink ref="B28" r:id="rId12"/>
    <hyperlink ref="B32" r:id="rId13"/>
    <hyperlink ref="B34" r:id="rId14"/>
    <hyperlink ref="B29" r:id="rId15"/>
    <hyperlink ref="B30" r:id="rId16"/>
    <hyperlink ref="B33" r:id="rId17"/>
    <hyperlink ref="B31" r:id="rId18"/>
    <hyperlink ref="C33" r:id="rId19" display="400m"/>
  </hyperlinks>
  <pageMargins left="0.7" right="0.7" top="0.75" bottom="0.75" header="0.3" footer="0.3"/>
  <pageSetup paperSize="9" orientation="portrait" horizontalDpi="300" verticalDpi="4294967293" r:id="rId2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2"/>
  <sheetViews>
    <sheetView workbookViewId="0">
      <selection activeCell="A8" sqref="A8"/>
    </sheetView>
  </sheetViews>
  <sheetFormatPr defaultRowHeight="12.75"/>
  <cols>
    <col min="1" max="1" width="11.28515625" style="282" customWidth="1"/>
    <col min="2" max="2" width="15.42578125" style="332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style="26" customWidth="1"/>
    <col min="8" max="8" width="12.5703125" customWidth="1"/>
    <col min="9" max="9" width="30" customWidth="1"/>
    <col min="10" max="10" width="12.85546875" customWidth="1"/>
    <col min="11" max="11" width="12.7109375" customWidth="1"/>
    <col min="12" max="12" width="12.85546875" customWidth="1"/>
    <col min="13" max="13" width="13.140625" customWidth="1"/>
    <col min="14" max="14" width="12.7109375" customWidth="1"/>
    <col min="15" max="15" width="13.28515625" customWidth="1"/>
    <col min="16" max="16" width="12.28515625" customWidth="1"/>
    <col min="17" max="17" width="12.7109375" customWidth="1"/>
    <col min="18" max="22" width="13.28515625" customWidth="1"/>
    <col min="23" max="23" width="15" customWidth="1"/>
    <col min="24" max="24" width="12.140625" customWidth="1"/>
    <col min="25" max="25" width="13" customWidth="1"/>
    <col min="26" max="26" width="21.5703125" customWidth="1"/>
    <col min="27" max="27" width="9.85546875" customWidth="1"/>
    <col min="28" max="28" width="11.140625" customWidth="1"/>
    <col min="29" max="29" width="10.5703125" customWidth="1"/>
    <col min="30" max="30" width="11.5703125" customWidth="1"/>
    <col min="32" max="32" width="18" bestFit="1" customWidth="1"/>
    <col min="33" max="33" width="22.28515625" bestFit="1" customWidth="1"/>
    <col min="34" max="34" width="22.42578125" customWidth="1"/>
    <col min="35" max="35" width="17.28515625" bestFit="1" customWidth="1"/>
    <col min="36" max="36" width="14.5703125" bestFit="1" customWidth="1"/>
  </cols>
  <sheetData>
    <row r="1" spans="1:34" ht="14.25" customHeight="1" thickBot="1">
      <c r="A1" s="298" t="s">
        <v>33</v>
      </c>
      <c r="B1" s="322" t="s">
        <v>0</v>
      </c>
      <c r="C1" s="299" t="s">
        <v>9</v>
      </c>
      <c r="D1" s="299" t="s">
        <v>8</v>
      </c>
      <c r="E1" s="300" t="s">
        <v>1</v>
      </c>
      <c r="F1" s="300" t="s">
        <v>2</v>
      </c>
      <c r="G1" s="30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52"/>
      <c r="Z1" s="152"/>
      <c r="AA1" s="45"/>
      <c r="AB1" s="1"/>
      <c r="AC1" s="1"/>
      <c r="AD1" s="1"/>
      <c r="AE1" s="1"/>
      <c r="AF1" s="1" t="s">
        <v>3</v>
      </c>
      <c r="AG1" s="1" t="s">
        <v>4</v>
      </c>
      <c r="AH1" s="152" t="s">
        <v>177</v>
      </c>
    </row>
    <row r="2" spans="1:34">
      <c r="A2" s="301" t="s">
        <v>389</v>
      </c>
      <c r="B2" s="323" t="s">
        <v>373</v>
      </c>
      <c r="C2" s="302">
        <v>7.16</v>
      </c>
      <c r="D2" s="303">
        <v>1</v>
      </c>
      <c r="E2" s="304">
        <f t="shared" ref="E2:E22" si="0">C2*D2</f>
        <v>7.16</v>
      </c>
      <c r="F2" s="304">
        <f>E2*1.23</f>
        <v>8.8068000000000008</v>
      </c>
      <c r="G2" s="305">
        <f>F2-E2</f>
        <v>1.6468000000000007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3"/>
      <c r="Z2" s="254" t="s">
        <v>200</v>
      </c>
      <c r="AA2" s="45"/>
      <c r="AB2" s="1"/>
      <c r="AC2" s="1"/>
      <c r="AE2" s="1"/>
      <c r="AF2" s="3">
        <f>K48</f>
        <v>0</v>
      </c>
      <c r="AG2" s="3">
        <f>AD15</f>
        <v>3520.6600000000003</v>
      </c>
      <c r="AH2" s="124">
        <f>(AG2-AF2)*0.19</f>
        <v>668.92540000000008</v>
      </c>
    </row>
    <row r="3" spans="1:34">
      <c r="A3" s="306" t="s">
        <v>389</v>
      </c>
      <c r="B3" s="324" t="s">
        <v>374</v>
      </c>
      <c r="C3" s="255">
        <v>4.78</v>
      </c>
      <c r="D3" s="256">
        <v>1</v>
      </c>
      <c r="E3" s="257">
        <f t="shared" si="0"/>
        <v>4.78</v>
      </c>
      <c r="F3" s="257">
        <f>E3*1.23</f>
        <v>5.8794000000000004</v>
      </c>
      <c r="G3" s="307">
        <f>F3-E3</f>
        <v>1.0994000000000002</v>
      </c>
      <c r="H3" s="3"/>
      <c r="I3" s="128" t="s">
        <v>31</v>
      </c>
      <c r="J3" s="128" t="s">
        <v>206</v>
      </c>
      <c r="K3" s="128" t="s">
        <v>207</v>
      </c>
      <c r="L3" s="128" t="s">
        <v>208</v>
      </c>
      <c r="M3" s="128" t="s">
        <v>209</v>
      </c>
      <c r="N3" s="128" t="s">
        <v>210</v>
      </c>
      <c r="O3" s="128" t="s">
        <v>343</v>
      </c>
      <c r="P3" s="128" t="s">
        <v>344</v>
      </c>
      <c r="Q3" s="128" t="s">
        <v>345</v>
      </c>
      <c r="R3" s="128" t="s">
        <v>347</v>
      </c>
      <c r="S3" s="128" t="s">
        <v>346</v>
      </c>
      <c r="T3" s="128" t="s">
        <v>350</v>
      </c>
      <c r="U3" s="128" t="s">
        <v>349</v>
      </c>
      <c r="V3" s="128" t="s">
        <v>348</v>
      </c>
      <c r="W3" s="128" t="s">
        <v>62</v>
      </c>
      <c r="X3" s="128" t="s">
        <v>27</v>
      </c>
      <c r="Y3" s="130" t="s">
        <v>86</v>
      </c>
      <c r="Z3" s="133" t="s">
        <v>201</v>
      </c>
      <c r="AA3" s="131" t="s">
        <v>94</v>
      </c>
      <c r="AB3" s="129" t="s">
        <v>28</v>
      </c>
      <c r="AC3" s="129" t="s">
        <v>37</v>
      </c>
      <c r="AD3" s="129" t="s">
        <v>332</v>
      </c>
      <c r="AE3" s="128" t="s">
        <v>100</v>
      </c>
      <c r="AF3" s="1" t="s">
        <v>6</v>
      </c>
      <c r="AG3" s="1" t="s">
        <v>7</v>
      </c>
      <c r="AH3" s="1" t="s">
        <v>176</v>
      </c>
    </row>
    <row r="4" spans="1:34">
      <c r="A4" s="306" t="s">
        <v>390</v>
      </c>
      <c r="B4" s="325" t="s">
        <v>377</v>
      </c>
      <c r="C4" s="18">
        <v>23.47</v>
      </c>
      <c r="D4" s="6">
        <v>7</v>
      </c>
      <c r="E4" s="7">
        <f t="shared" si="0"/>
        <v>164.29</v>
      </c>
      <c r="F4" s="7">
        <f>E4*1.23</f>
        <v>202.07669999999999</v>
      </c>
      <c r="G4" s="308">
        <f>F4-E4</f>
        <v>37.786699999999996</v>
      </c>
      <c r="H4" s="3"/>
      <c r="I4" s="6" t="s">
        <v>369</v>
      </c>
      <c r="J4" s="7">
        <f>SUM(E2)</f>
        <v>7.16</v>
      </c>
      <c r="K4" s="7">
        <f>SUM(E3)</f>
        <v>4.78</v>
      </c>
      <c r="L4" s="7">
        <f>SUM(E4)</f>
        <v>164.29</v>
      </c>
      <c r="M4" s="7">
        <f>SUM(E5)</f>
        <v>0</v>
      </c>
      <c r="N4" s="7">
        <f>SUM(E6)</f>
        <v>0</v>
      </c>
      <c r="O4" s="7">
        <f>SUM(E7)</f>
        <v>0</v>
      </c>
      <c r="P4" s="7">
        <f>SUM(E8)</f>
        <v>0</v>
      </c>
      <c r="Q4" s="7">
        <f>SUM(E9)</f>
        <v>0</v>
      </c>
      <c r="R4" s="7">
        <f>SUM(E10)</f>
        <v>0</v>
      </c>
      <c r="S4" s="7">
        <f>SUM(E11)</f>
        <v>0</v>
      </c>
      <c r="T4" s="7">
        <f>SUM(E12)</f>
        <v>0</v>
      </c>
      <c r="U4" s="7">
        <f>SUM(E13)</f>
        <v>0</v>
      </c>
      <c r="V4" s="7">
        <f>SUM(E14)</f>
        <v>0</v>
      </c>
      <c r="W4" s="9">
        <f>SUM(N32)</f>
        <v>37</v>
      </c>
      <c r="X4" s="7">
        <v>60</v>
      </c>
      <c r="Y4" s="7">
        <f t="shared" ref="Y4:Y11" si="1">SUM(J4:X4)</f>
        <v>273.23</v>
      </c>
      <c r="Z4" s="319">
        <f>SUM(Y4*AA16)</f>
        <v>546.46</v>
      </c>
      <c r="AA4" s="9">
        <f>SUM(Z4/AA17)</f>
        <v>118.79565217391306</v>
      </c>
      <c r="AB4" s="151">
        <f t="shared" ref="AB4:AB11" si="2">(Z4-Y4)/Z4</f>
        <v>0.5</v>
      </c>
      <c r="AC4" s="27">
        <f t="shared" ref="AC4:AC11" si="3">((Z4-Y4)/Y4)</f>
        <v>1</v>
      </c>
      <c r="AD4" s="7">
        <f>Z4*$AE$4</f>
        <v>546.46</v>
      </c>
      <c r="AE4" s="128">
        <v>1</v>
      </c>
      <c r="AF4" s="3">
        <f>L48</f>
        <v>0</v>
      </c>
      <c r="AG4" s="3">
        <f>AG2*1.23</f>
        <v>4330.4118000000008</v>
      </c>
      <c r="AH4" s="3">
        <f>AG4-AG2</f>
        <v>809.75180000000046</v>
      </c>
    </row>
    <row r="5" spans="1:34">
      <c r="A5" s="306"/>
      <c r="B5" s="324"/>
      <c r="C5" s="18"/>
      <c r="D5" s="6"/>
      <c r="E5" s="7">
        <f t="shared" si="0"/>
        <v>0</v>
      </c>
      <c r="F5" s="7">
        <f t="shared" ref="F5:F68" si="4">E5*1.23</f>
        <v>0</v>
      </c>
      <c r="G5" s="308">
        <f t="shared" ref="G5:G68" si="5">F5-E5</f>
        <v>0</v>
      </c>
      <c r="H5" s="3"/>
      <c r="I5" s="6" t="s">
        <v>370</v>
      </c>
      <c r="J5" s="343">
        <f>SUM(E15)</f>
        <v>6.54</v>
      </c>
      <c r="K5" s="343">
        <f>SUM(E16)</f>
        <v>5.13</v>
      </c>
      <c r="L5" s="343">
        <f>SUM(E17)</f>
        <v>164.29</v>
      </c>
      <c r="M5" s="343">
        <f>SUM(E18)</f>
        <v>0</v>
      </c>
      <c r="N5" s="343">
        <f>SUM(E19)</f>
        <v>0</v>
      </c>
      <c r="O5" s="343">
        <f>SUM(E20)</f>
        <v>0</v>
      </c>
      <c r="P5" s="343">
        <f>SUM(E21)</f>
        <v>0</v>
      </c>
      <c r="Q5" s="343">
        <f>SUM(E22)</f>
        <v>0</v>
      </c>
      <c r="R5" s="343">
        <f>SUM(E23)</f>
        <v>0</v>
      </c>
      <c r="S5" s="343">
        <f>SUM(E24)</f>
        <v>0</v>
      </c>
      <c r="T5" s="343">
        <v>0</v>
      </c>
      <c r="U5" s="343">
        <v>0</v>
      </c>
      <c r="V5" s="343">
        <v>0</v>
      </c>
      <c r="W5" s="9">
        <f>SUM(N32)</f>
        <v>37</v>
      </c>
      <c r="X5" s="7">
        <v>60</v>
      </c>
      <c r="Y5" s="7">
        <f t="shared" si="1"/>
        <v>272.95999999999998</v>
      </c>
      <c r="Z5" s="319">
        <f>SUM(Y5*AA16)</f>
        <v>545.91999999999996</v>
      </c>
      <c r="AA5" s="9">
        <f>SUM(Z5/AA17)</f>
        <v>118.67826086956522</v>
      </c>
      <c r="AB5" s="151">
        <f t="shared" si="2"/>
        <v>0.5</v>
      </c>
      <c r="AC5" s="27">
        <f t="shared" si="3"/>
        <v>1</v>
      </c>
      <c r="AD5" s="7">
        <f>Z5*$AE$5</f>
        <v>545.91999999999996</v>
      </c>
      <c r="AE5" s="128">
        <v>1</v>
      </c>
      <c r="AF5" s="1" t="s">
        <v>11</v>
      </c>
      <c r="AG5" s="1" t="s">
        <v>12</v>
      </c>
      <c r="AH5" s="152" t="s">
        <v>175</v>
      </c>
    </row>
    <row r="6" spans="1:34">
      <c r="A6" s="306"/>
      <c r="B6" s="324"/>
      <c r="C6" s="18"/>
      <c r="D6" s="6"/>
      <c r="E6" s="7">
        <f t="shared" si="0"/>
        <v>0</v>
      </c>
      <c r="F6" s="7">
        <f t="shared" si="4"/>
        <v>0</v>
      </c>
      <c r="G6" s="308">
        <f t="shared" si="5"/>
        <v>0</v>
      </c>
      <c r="H6" s="3"/>
      <c r="I6" s="6" t="s">
        <v>371</v>
      </c>
      <c r="J6" s="343">
        <f>SUM(E25)</f>
        <v>6.54</v>
      </c>
      <c r="K6" s="343">
        <f>SUM(E26)</f>
        <v>6.87</v>
      </c>
      <c r="L6" s="343">
        <f>SUM(E27)</f>
        <v>164.29</v>
      </c>
      <c r="M6" s="343">
        <f>SUM(E28)</f>
        <v>0</v>
      </c>
      <c r="N6" s="343">
        <f>SUM(E29)</f>
        <v>0</v>
      </c>
      <c r="O6" s="343">
        <f>SUM(E30)</f>
        <v>0</v>
      </c>
      <c r="P6" s="343">
        <f>SUM(E31)</f>
        <v>0</v>
      </c>
      <c r="Q6" s="343">
        <f>SUM(E32)</f>
        <v>0</v>
      </c>
      <c r="R6" s="343">
        <f>SUM(E33)</f>
        <v>0</v>
      </c>
      <c r="S6" s="343">
        <f>SUM(E34)</f>
        <v>0</v>
      </c>
      <c r="T6" s="343">
        <f>SUM(E35)</f>
        <v>0</v>
      </c>
      <c r="U6" s="343">
        <f>SUM(E36)</f>
        <v>0</v>
      </c>
      <c r="V6" s="7">
        <f>SUM(E37)</f>
        <v>0</v>
      </c>
      <c r="W6" s="9">
        <f>SUM(N32)</f>
        <v>37</v>
      </c>
      <c r="X6" s="7">
        <v>60</v>
      </c>
      <c r="Y6" s="7">
        <f t="shared" si="1"/>
        <v>274.7</v>
      </c>
      <c r="Z6" s="319">
        <f>SUM(Y6*AA16)</f>
        <v>549.4</v>
      </c>
      <c r="AA6" s="9">
        <f>SUM(Z6/AA17)</f>
        <v>119.43478260869566</v>
      </c>
      <c r="AB6" s="151">
        <f t="shared" si="2"/>
        <v>0.5</v>
      </c>
      <c r="AC6" s="27">
        <f t="shared" si="3"/>
        <v>1</v>
      </c>
      <c r="AD6" s="7">
        <f t="shared" ref="AD6:AD11" si="6">Z6*$AE$4</f>
        <v>549.4</v>
      </c>
      <c r="AE6" s="1"/>
      <c r="AF6" s="3">
        <f>M48</f>
        <v>0</v>
      </c>
      <c r="AG6" s="3">
        <f>AH4</f>
        <v>809.75180000000046</v>
      </c>
      <c r="AH6" s="124">
        <f>AG6-AF6</f>
        <v>809.75180000000046</v>
      </c>
    </row>
    <row r="7" spans="1:34">
      <c r="A7" s="306"/>
      <c r="B7" s="324"/>
      <c r="C7" s="18"/>
      <c r="D7" s="6"/>
      <c r="E7" s="7">
        <f t="shared" si="0"/>
        <v>0</v>
      </c>
      <c r="F7" s="7">
        <f>E7*1.23</f>
        <v>0</v>
      </c>
      <c r="G7" s="308">
        <f>F7-E7</f>
        <v>0</v>
      </c>
      <c r="H7" s="3"/>
      <c r="I7" s="6" t="s">
        <v>372</v>
      </c>
      <c r="J7" s="343">
        <f>SUM(E38)</f>
        <v>4.34</v>
      </c>
      <c r="K7" s="343">
        <f>SUM(E39)</f>
        <v>7.18</v>
      </c>
      <c r="L7" s="343">
        <f>SUM(E40)</f>
        <v>177.73000000000002</v>
      </c>
      <c r="M7" s="343">
        <f>SUM(E41)</f>
        <v>0</v>
      </c>
      <c r="N7" s="343">
        <f>SUM(E42)</f>
        <v>0</v>
      </c>
      <c r="O7" s="343">
        <f>SUM(E43)</f>
        <v>0</v>
      </c>
      <c r="P7" s="343">
        <f>SUM(E44)</f>
        <v>0</v>
      </c>
      <c r="Q7" s="343">
        <f>SUM(E45)</f>
        <v>0</v>
      </c>
      <c r="R7" s="343">
        <f>SUM(E46)</f>
        <v>0</v>
      </c>
      <c r="S7" s="343">
        <f>SUM(E47)</f>
        <v>0</v>
      </c>
      <c r="T7" s="343">
        <f>SUM(E48)</f>
        <v>0</v>
      </c>
      <c r="U7" s="343">
        <v>0</v>
      </c>
      <c r="V7" s="7">
        <v>0</v>
      </c>
      <c r="W7" s="9">
        <f>SUM(N32)</f>
        <v>37</v>
      </c>
      <c r="X7" s="7">
        <v>60</v>
      </c>
      <c r="Y7" s="7">
        <f t="shared" si="1"/>
        <v>286.25</v>
      </c>
      <c r="Z7" s="319">
        <f>SUM(Y7*AA16)</f>
        <v>572.5</v>
      </c>
      <c r="AA7" s="9">
        <f>SUM(Z7/AA17)</f>
        <v>124.45652173913045</v>
      </c>
      <c r="AB7" s="151">
        <f t="shared" si="2"/>
        <v>0.5</v>
      </c>
      <c r="AC7" s="27">
        <f t="shared" si="3"/>
        <v>1</v>
      </c>
      <c r="AD7" s="7">
        <f t="shared" si="6"/>
        <v>572.5</v>
      </c>
      <c r="AE7" s="1"/>
      <c r="AF7" s="1"/>
      <c r="AG7" s="1"/>
      <c r="AH7" s="1"/>
    </row>
    <row r="8" spans="1:34" ht="14.25" customHeight="1">
      <c r="A8" s="306"/>
      <c r="B8" s="325"/>
      <c r="C8" s="18"/>
      <c r="D8" s="6"/>
      <c r="E8" s="257">
        <f t="shared" si="0"/>
        <v>0</v>
      </c>
      <c r="F8" s="257">
        <f>E8*1.23</f>
        <v>0</v>
      </c>
      <c r="G8" s="307">
        <f>F8-E8</f>
        <v>0</v>
      </c>
      <c r="H8" s="3"/>
      <c r="I8" s="22" t="s">
        <v>383</v>
      </c>
      <c r="J8" s="343">
        <f>SUM(E49)</f>
        <v>3.32</v>
      </c>
      <c r="K8" s="343">
        <f>SUM(E50)</f>
        <v>17.849999999999998</v>
      </c>
      <c r="L8" s="343">
        <f>SUM(E51)</f>
        <v>14.94</v>
      </c>
      <c r="M8" s="343">
        <f>SUM(E52)</f>
        <v>116.67</v>
      </c>
      <c r="N8" s="343">
        <f>SUM(E53)</f>
        <v>0</v>
      </c>
      <c r="O8" s="343">
        <f>SUM(E54)</f>
        <v>0</v>
      </c>
      <c r="P8" s="343">
        <f>SUM(E55)</f>
        <v>0</v>
      </c>
      <c r="Q8" s="343">
        <v>0</v>
      </c>
      <c r="R8" s="343">
        <v>0</v>
      </c>
      <c r="S8" s="343">
        <v>0</v>
      </c>
      <c r="T8" s="343">
        <v>0</v>
      </c>
      <c r="U8" s="343">
        <v>0</v>
      </c>
      <c r="V8" s="7">
        <v>0</v>
      </c>
      <c r="W8" s="9">
        <f>SUM(N32)</f>
        <v>37</v>
      </c>
      <c r="X8" s="7">
        <v>30</v>
      </c>
      <c r="Y8" s="7">
        <f t="shared" si="1"/>
        <v>219.78</v>
      </c>
      <c r="Z8" s="319">
        <f>SUM(Y8*AA16)</f>
        <v>439.56</v>
      </c>
      <c r="AA8" s="9">
        <f>SUM(Z8/AA17)</f>
        <v>95.556521739130446</v>
      </c>
      <c r="AB8" s="151">
        <f t="shared" si="2"/>
        <v>0.5</v>
      </c>
      <c r="AC8" s="27">
        <f t="shared" si="3"/>
        <v>1</v>
      </c>
      <c r="AD8" s="7">
        <f t="shared" si="6"/>
        <v>439.56</v>
      </c>
      <c r="AE8" s="1"/>
      <c r="AF8" s="1"/>
      <c r="AG8" s="1" t="s">
        <v>20</v>
      </c>
      <c r="AH8" s="2" t="s">
        <v>13</v>
      </c>
    </row>
    <row r="9" spans="1:34" ht="15" customHeight="1">
      <c r="A9" s="306"/>
      <c r="B9" s="324"/>
      <c r="C9" s="18"/>
      <c r="D9" s="6"/>
      <c r="E9" s="7">
        <f>C9*D9</f>
        <v>0</v>
      </c>
      <c r="F9" s="7">
        <f t="shared" si="4"/>
        <v>0</v>
      </c>
      <c r="G9" s="308">
        <f t="shared" si="5"/>
        <v>0</v>
      </c>
      <c r="H9" s="3"/>
      <c r="I9" s="22" t="s">
        <v>384</v>
      </c>
      <c r="J9" s="343">
        <f>SUM(E56)</f>
        <v>3.32</v>
      </c>
      <c r="K9" s="343">
        <f>SUM(E57)</f>
        <v>11.899999999999999</v>
      </c>
      <c r="L9" s="343">
        <f>SUM(E58)</f>
        <v>14.94</v>
      </c>
      <c r="M9" s="343">
        <f>SUM(E59)</f>
        <v>45</v>
      </c>
      <c r="N9" s="343">
        <f>SUM(E60)</f>
        <v>0</v>
      </c>
      <c r="O9" s="343">
        <f>SUM(E61)</f>
        <v>0</v>
      </c>
      <c r="P9" s="343">
        <f>SUM(E62)</f>
        <v>0</v>
      </c>
      <c r="Q9" s="343">
        <f>SUM(E63)</f>
        <v>0</v>
      </c>
      <c r="R9" s="343">
        <f>SUM(E64)</f>
        <v>0</v>
      </c>
      <c r="S9" s="343">
        <f>SUM(E65)</f>
        <v>0</v>
      </c>
      <c r="T9" s="343">
        <v>0</v>
      </c>
      <c r="U9" s="343">
        <v>0</v>
      </c>
      <c r="V9" s="7">
        <v>0</v>
      </c>
      <c r="W9" s="9">
        <f>SUM(N32)</f>
        <v>37</v>
      </c>
      <c r="X9" s="7">
        <v>60</v>
      </c>
      <c r="Y9" s="7">
        <f t="shared" si="1"/>
        <v>172.16</v>
      </c>
      <c r="Z9" s="319">
        <f>SUM(Y9*AA16)</f>
        <v>344.32</v>
      </c>
      <c r="AA9" s="9">
        <f>SUM(Z9/AA17)</f>
        <v>74.852173913043487</v>
      </c>
      <c r="AB9" s="151">
        <f t="shared" si="2"/>
        <v>0.5</v>
      </c>
      <c r="AC9" s="27">
        <f t="shared" si="3"/>
        <v>1</v>
      </c>
      <c r="AD9" s="7">
        <f t="shared" si="6"/>
        <v>344.32</v>
      </c>
      <c r="AF9" s="1"/>
      <c r="AG9" s="3">
        <f>AG4-AF4</f>
        <v>4330.4118000000008</v>
      </c>
      <c r="AH9" s="90">
        <f>AH2+AH6</f>
        <v>1478.6772000000005</v>
      </c>
    </row>
    <row r="10" spans="1:34" ht="15.75" customHeight="1">
      <c r="A10" s="306"/>
      <c r="B10" s="324"/>
      <c r="C10" s="18"/>
      <c r="D10" s="6"/>
      <c r="E10" s="7">
        <f t="shared" si="0"/>
        <v>0</v>
      </c>
      <c r="F10" s="7">
        <f t="shared" si="4"/>
        <v>0</v>
      </c>
      <c r="G10" s="308">
        <f t="shared" si="5"/>
        <v>0</v>
      </c>
      <c r="H10" s="3"/>
      <c r="I10" s="22" t="s">
        <v>385</v>
      </c>
      <c r="J10" s="343">
        <f>SUM(E66)</f>
        <v>2.75</v>
      </c>
      <c r="K10" s="343">
        <f>SUM(E67)</f>
        <v>5.9499999999999993</v>
      </c>
      <c r="L10" s="343">
        <f>SUM(E68)</f>
        <v>14.94</v>
      </c>
      <c r="M10" s="343">
        <f>SUM(E69)</f>
        <v>45</v>
      </c>
      <c r="N10" s="343">
        <f>SUM(E70)</f>
        <v>0</v>
      </c>
      <c r="O10" s="343">
        <f>SUM(E71)</f>
        <v>0</v>
      </c>
      <c r="P10" s="343">
        <f>SUM(E72)</f>
        <v>0</v>
      </c>
      <c r="Q10" s="343">
        <f>SUM(E73)</f>
        <v>0</v>
      </c>
      <c r="R10" s="343">
        <f>SUM(E74)</f>
        <v>0</v>
      </c>
      <c r="S10" s="343">
        <v>0</v>
      </c>
      <c r="T10" s="343">
        <v>0</v>
      </c>
      <c r="U10" s="343">
        <v>0</v>
      </c>
      <c r="V10" s="7">
        <v>0</v>
      </c>
      <c r="W10" s="9">
        <f>SUM(N32)</f>
        <v>37</v>
      </c>
      <c r="X10" s="7">
        <v>60</v>
      </c>
      <c r="Y10" s="7">
        <f t="shared" si="1"/>
        <v>165.64</v>
      </c>
      <c r="Z10" s="319">
        <f>SUM(Y10*AA16)</f>
        <v>331.28</v>
      </c>
      <c r="AA10" s="9">
        <f>SUM(Z10/AA17)</f>
        <v>72.017391304347825</v>
      </c>
      <c r="AB10" s="151">
        <f t="shared" si="2"/>
        <v>0.5</v>
      </c>
      <c r="AC10" s="27">
        <f t="shared" si="3"/>
        <v>1</v>
      </c>
      <c r="AD10" s="7">
        <f t="shared" si="6"/>
        <v>331.28</v>
      </c>
      <c r="AE10" s="1"/>
      <c r="AF10" s="1"/>
      <c r="AG10" s="1"/>
      <c r="AH10" s="1"/>
    </row>
    <row r="11" spans="1:34" ht="15" customHeight="1">
      <c r="A11" s="335"/>
      <c r="B11" s="340"/>
      <c r="C11" s="36"/>
      <c r="D11" s="35"/>
      <c r="E11" s="38">
        <f t="shared" si="0"/>
        <v>0</v>
      </c>
      <c r="F11" s="38">
        <f t="shared" si="4"/>
        <v>0</v>
      </c>
      <c r="G11" s="320">
        <f t="shared" si="5"/>
        <v>0</v>
      </c>
      <c r="H11" s="3"/>
      <c r="I11" s="22" t="s">
        <v>386</v>
      </c>
      <c r="J11" s="343">
        <f>SUM(E75)</f>
        <v>5</v>
      </c>
      <c r="K11" s="343">
        <f>SUM(E76)</f>
        <v>4</v>
      </c>
      <c r="L11" s="343">
        <f>SUM(E77)</f>
        <v>29.61</v>
      </c>
      <c r="M11" s="343">
        <f>SUM(E78)</f>
        <v>0</v>
      </c>
      <c r="N11" s="343">
        <f>SUM(E79)</f>
        <v>0</v>
      </c>
      <c r="O11" s="343">
        <f>SUM(E80)</f>
        <v>0</v>
      </c>
      <c r="P11" s="343">
        <f>SUM(E81)</f>
        <v>0</v>
      </c>
      <c r="Q11" s="343">
        <f>SUM(E82)</f>
        <v>0</v>
      </c>
      <c r="R11" s="343">
        <v>0</v>
      </c>
      <c r="S11" s="343">
        <v>0</v>
      </c>
      <c r="T11" s="343">
        <v>0</v>
      </c>
      <c r="U11" s="343">
        <v>0</v>
      </c>
      <c r="V11" s="7">
        <v>0</v>
      </c>
      <c r="W11" s="9">
        <f>SUM(N32)</f>
        <v>37</v>
      </c>
      <c r="X11" s="7">
        <v>20</v>
      </c>
      <c r="Y11" s="7">
        <f t="shared" si="1"/>
        <v>95.61</v>
      </c>
      <c r="Z11" s="333">
        <f>Y11*AA16</f>
        <v>191.22</v>
      </c>
      <c r="AA11" s="9">
        <f>SUM(Z11/AA17)</f>
        <v>41.569565217391307</v>
      </c>
      <c r="AB11" s="151">
        <f t="shared" si="2"/>
        <v>0.5</v>
      </c>
      <c r="AC11" s="27">
        <f t="shared" si="3"/>
        <v>1</v>
      </c>
      <c r="AD11" s="7">
        <f t="shared" si="6"/>
        <v>191.22</v>
      </c>
      <c r="AE11" s="1"/>
      <c r="AF11" s="1"/>
      <c r="AG11" s="121" t="s">
        <v>14</v>
      </c>
      <c r="AH11" s="88" t="s">
        <v>189</v>
      </c>
    </row>
    <row r="12" spans="1:34" ht="15" customHeight="1">
      <c r="A12" s="306"/>
      <c r="B12" s="325"/>
      <c r="C12" s="18"/>
      <c r="D12" s="18"/>
      <c r="E12" s="7">
        <f t="shared" si="0"/>
        <v>0</v>
      </c>
      <c r="F12" s="7">
        <f t="shared" si="4"/>
        <v>0</v>
      </c>
      <c r="G12" s="308">
        <f t="shared" si="5"/>
        <v>0</v>
      </c>
      <c r="H12" s="3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36"/>
      <c r="X12" s="13"/>
      <c r="Y12" s="13"/>
      <c r="Z12" s="337"/>
      <c r="AA12" s="336"/>
      <c r="AB12" s="338"/>
      <c r="AC12" s="339"/>
      <c r="AD12" s="7"/>
      <c r="AE12" s="1"/>
      <c r="AF12" s="1"/>
      <c r="AG12" s="121"/>
      <c r="AH12" s="88"/>
    </row>
    <row r="13" spans="1:34" ht="15" customHeight="1">
      <c r="A13" s="306"/>
      <c r="B13" s="325"/>
      <c r="C13" s="6"/>
      <c r="D13" s="6"/>
      <c r="E13" s="7">
        <f>C13*D13</f>
        <v>0</v>
      </c>
      <c r="F13" s="7">
        <f t="shared" si="4"/>
        <v>0</v>
      </c>
      <c r="G13" s="308">
        <f t="shared" si="5"/>
        <v>0</v>
      </c>
      <c r="H13" s="3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36"/>
      <c r="X13" s="13"/>
      <c r="Y13" s="13"/>
      <c r="Z13" s="337"/>
      <c r="AA13" s="336"/>
      <c r="AB13" s="338"/>
      <c r="AC13" s="339"/>
      <c r="AD13" s="7"/>
      <c r="AE13" s="1"/>
      <c r="AF13" s="1"/>
      <c r="AG13" s="121"/>
      <c r="AH13" s="88"/>
    </row>
    <row r="14" spans="1:34" ht="15" customHeight="1" thickBot="1">
      <c r="A14" s="309"/>
      <c r="B14" s="327"/>
      <c r="C14" s="310"/>
      <c r="D14" s="310"/>
      <c r="E14" s="312">
        <f>C14*D14</f>
        <v>0</v>
      </c>
      <c r="F14" s="312">
        <f t="shared" si="4"/>
        <v>0</v>
      </c>
      <c r="G14" s="313">
        <f t="shared" si="5"/>
        <v>0</v>
      </c>
      <c r="H14" s="3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36"/>
      <c r="X14" s="13"/>
      <c r="Y14" s="13"/>
      <c r="Z14" s="337"/>
      <c r="AA14" s="336"/>
      <c r="AB14" s="338"/>
      <c r="AC14" s="339"/>
      <c r="AD14" s="7"/>
      <c r="AE14" s="1"/>
      <c r="AF14" s="1"/>
      <c r="AG14" s="121"/>
      <c r="AH14" s="88"/>
    </row>
    <row r="15" spans="1:34">
      <c r="A15" s="301" t="s">
        <v>389</v>
      </c>
      <c r="B15" s="323" t="s">
        <v>373</v>
      </c>
      <c r="C15" s="302">
        <v>6.54</v>
      </c>
      <c r="D15" s="303">
        <v>1</v>
      </c>
      <c r="E15" s="43">
        <f>C15*D15</f>
        <v>6.54</v>
      </c>
      <c r="F15" s="43">
        <f t="shared" si="4"/>
        <v>8.0442</v>
      </c>
      <c r="G15" s="342">
        <f t="shared" si="5"/>
        <v>1.5042</v>
      </c>
      <c r="H15" s="3"/>
      <c r="X15" s="26"/>
      <c r="Y15" s="26">
        <f>SUM(Y4:Y11)</f>
        <v>1760.3300000000002</v>
      </c>
      <c r="Z15" s="26">
        <f>SUM(Z4:Z11)</f>
        <v>3520.6600000000003</v>
      </c>
      <c r="AA15" s="1"/>
      <c r="AC15" s="1" t="s">
        <v>96</v>
      </c>
      <c r="AD15" s="258">
        <f>SUM(AD4:AD11)</f>
        <v>3520.6600000000003</v>
      </c>
      <c r="AE15" s="1"/>
      <c r="AF15" s="1"/>
      <c r="AG15" s="259">
        <f>AG9-AH9</f>
        <v>2851.7346000000002</v>
      </c>
      <c r="AH15" s="123"/>
    </row>
    <row r="16" spans="1:34" ht="15">
      <c r="A16" s="306" t="s">
        <v>389</v>
      </c>
      <c r="B16" s="325" t="s">
        <v>375</v>
      </c>
      <c r="C16" s="255">
        <v>5.13</v>
      </c>
      <c r="D16" s="256">
        <v>1</v>
      </c>
      <c r="E16" s="7">
        <f>C16*D16</f>
        <v>5.13</v>
      </c>
      <c r="F16" s="7">
        <f t="shared" si="4"/>
        <v>6.3098999999999998</v>
      </c>
      <c r="G16" s="308">
        <f t="shared" si="5"/>
        <v>1.1798999999999999</v>
      </c>
      <c r="H16" s="1"/>
      <c r="X16" s="26"/>
      <c r="Z16" s="157" t="s">
        <v>191</v>
      </c>
      <c r="AA16" s="90">
        <v>2</v>
      </c>
      <c r="AB16" s="90"/>
      <c r="AC16" s="90"/>
      <c r="AD16" s="258">
        <f>SUM(AD15*1.23)</f>
        <v>4330.4118000000008</v>
      </c>
      <c r="AE16" s="1"/>
      <c r="AF16" s="161"/>
      <c r="AG16" s="162"/>
      <c r="AH16" s="3">
        <f>AG15/8</f>
        <v>356.46682500000003</v>
      </c>
    </row>
    <row r="17" spans="1:34" ht="12.75" customHeight="1">
      <c r="A17" s="306" t="s">
        <v>390</v>
      </c>
      <c r="B17" s="325" t="s">
        <v>377</v>
      </c>
      <c r="C17" s="18">
        <v>23.47</v>
      </c>
      <c r="D17" s="6">
        <v>7</v>
      </c>
      <c r="E17" s="7">
        <f t="shared" si="0"/>
        <v>164.29</v>
      </c>
      <c r="F17" s="7">
        <f t="shared" si="4"/>
        <v>202.07669999999999</v>
      </c>
      <c r="G17" s="308">
        <f t="shared" si="5"/>
        <v>37.786699999999996</v>
      </c>
      <c r="H17" s="1"/>
      <c r="X17" s="26"/>
      <c r="Y17" s="1"/>
      <c r="Z17" s="66" t="s">
        <v>93</v>
      </c>
      <c r="AA17" s="1">
        <v>4.5999999999999996</v>
      </c>
      <c r="AB17" s="1"/>
      <c r="AC17" s="1"/>
      <c r="AD17" s="1"/>
      <c r="AE17" s="1"/>
      <c r="AF17" s="161"/>
      <c r="AG17" s="1"/>
      <c r="AH17" s="1"/>
    </row>
    <row r="18" spans="1:34" ht="15.75" thickBot="1">
      <c r="A18" s="306"/>
      <c r="B18" s="325"/>
      <c r="C18" s="18"/>
      <c r="D18" s="6"/>
      <c r="E18" s="7">
        <f t="shared" si="0"/>
        <v>0</v>
      </c>
      <c r="F18" s="7">
        <f t="shared" si="4"/>
        <v>0</v>
      </c>
      <c r="G18" s="308">
        <f t="shared" si="5"/>
        <v>0</v>
      </c>
      <c r="H18" s="1"/>
      <c r="I18" s="134" t="s">
        <v>108</v>
      </c>
      <c r="J18" s="135" t="s">
        <v>102</v>
      </c>
      <c r="K18" s="135" t="s">
        <v>30</v>
      </c>
      <c r="L18" s="135" t="s">
        <v>101</v>
      </c>
      <c r="M18" s="135"/>
      <c r="N18" s="135" t="s">
        <v>103</v>
      </c>
      <c r="O18" s="135"/>
      <c r="P18" s="135" t="s">
        <v>104</v>
      </c>
      <c r="Q18" s="135"/>
      <c r="R18" s="135"/>
      <c r="S18" s="135"/>
      <c r="T18" s="135"/>
      <c r="U18" s="135"/>
      <c r="V18" s="135"/>
      <c r="W18" s="135" t="s">
        <v>105</v>
      </c>
      <c r="X18" s="135" t="s">
        <v>106</v>
      </c>
      <c r="Y18" s="135" t="s">
        <v>107</v>
      </c>
      <c r="Z18" s="66"/>
      <c r="AB18" s="1"/>
      <c r="AC18" s="1"/>
      <c r="AD18" s="1"/>
      <c r="AE18" s="1"/>
      <c r="AF18" s="366" t="s">
        <v>205</v>
      </c>
      <c r="AG18" s="146">
        <f>AG15</f>
        <v>2851.7346000000002</v>
      </c>
      <c r="AH18" s="1"/>
    </row>
    <row r="19" spans="1:34">
      <c r="A19" s="306"/>
      <c r="B19" s="324"/>
      <c r="C19" s="18"/>
      <c r="D19" s="18"/>
      <c r="E19" s="7">
        <f>C19*D19</f>
        <v>0</v>
      </c>
      <c r="F19" s="7">
        <f t="shared" si="4"/>
        <v>0</v>
      </c>
      <c r="G19" s="314">
        <f t="shared" si="5"/>
        <v>0</v>
      </c>
      <c r="H19" s="1"/>
      <c r="I19" s="6"/>
      <c r="J19" s="18">
        <v>14400</v>
      </c>
      <c r="K19" s="18">
        <v>60</v>
      </c>
      <c r="L19" s="9">
        <f>K19/3600</f>
        <v>1.6666666666666666E-2</v>
      </c>
      <c r="M19" s="9"/>
      <c r="N19" s="18">
        <f>J19*20</f>
        <v>288000</v>
      </c>
      <c r="O19" s="18"/>
      <c r="P19" s="9">
        <f>L19*J19</f>
        <v>240</v>
      </c>
      <c r="Q19" s="18"/>
      <c r="R19" s="18"/>
      <c r="S19" s="18"/>
      <c r="T19" s="18"/>
      <c r="U19" s="18"/>
      <c r="V19" s="18"/>
      <c r="W19" s="9">
        <f>N19*L19</f>
        <v>4800</v>
      </c>
      <c r="X19" s="30">
        <f>J19/3600</f>
        <v>4</v>
      </c>
      <c r="Y19" s="30">
        <f>N19/3600</f>
        <v>80</v>
      </c>
      <c r="Z19" s="1"/>
      <c r="AA19" s="1"/>
      <c r="AB19" s="1"/>
      <c r="AC19" s="1"/>
      <c r="AD19" s="1"/>
      <c r="AE19" s="1"/>
      <c r="AF19" s="367"/>
      <c r="AG19" s="1"/>
      <c r="AH19" s="1"/>
    </row>
    <row r="20" spans="1:34" ht="15">
      <c r="A20" s="306"/>
      <c r="B20" s="324"/>
      <c r="C20" s="18"/>
      <c r="D20" s="6"/>
      <c r="E20" s="7">
        <f t="shared" si="0"/>
        <v>0</v>
      </c>
      <c r="F20" s="7">
        <f t="shared" si="4"/>
        <v>0</v>
      </c>
      <c r="G20" s="308">
        <f t="shared" si="5"/>
        <v>0</v>
      </c>
      <c r="H20" s="1"/>
      <c r="I20" s="6"/>
      <c r="J20" s="18">
        <v>14400</v>
      </c>
      <c r="K20" s="18">
        <v>60</v>
      </c>
      <c r="L20" s="9">
        <f>K20/3600</f>
        <v>1.6666666666666666E-2</v>
      </c>
      <c r="M20" s="9"/>
      <c r="N20" s="18">
        <f t="shared" ref="N20:N21" si="7">J20*20</f>
        <v>288000</v>
      </c>
      <c r="O20" s="18"/>
      <c r="P20" s="9">
        <f>L20*J20</f>
        <v>240</v>
      </c>
      <c r="Q20" s="18"/>
      <c r="R20" s="18"/>
      <c r="S20" s="18"/>
      <c r="T20" s="18"/>
      <c r="U20" s="18"/>
      <c r="V20" s="18"/>
      <c r="W20" s="9">
        <f>N20*L20</f>
        <v>4800</v>
      </c>
      <c r="X20" s="30">
        <f t="shared" ref="X20:X21" si="8">J20/3600</f>
        <v>4</v>
      </c>
      <c r="Y20" s="30">
        <f t="shared" ref="Y20:Y21" si="9">N20/3600</f>
        <v>80</v>
      </c>
      <c r="Z20" s="1"/>
      <c r="AA20" s="1"/>
      <c r="AB20" s="1"/>
      <c r="AC20" s="1"/>
      <c r="AD20" s="1"/>
      <c r="AE20" s="1"/>
      <c r="AF20" s="161"/>
      <c r="AG20" s="162"/>
      <c r="AH20" s="1"/>
    </row>
    <row r="21" spans="1:34" ht="13.5" customHeight="1">
      <c r="A21" s="306"/>
      <c r="B21" s="324"/>
      <c r="C21" s="18"/>
      <c r="D21" s="255"/>
      <c r="E21" s="7">
        <f t="shared" si="0"/>
        <v>0</v>
      </c>
      <c r="F21" s="7">
        <f t="shared" si="4"/>
        <v>0</v>
      </c>
      <c r="G21" s="308">
        <f t="shared" si="5"/>
        <v>0</v>
      </c>
      <c r="H21" s="1"/>
      <c r="I21" s="6"/>
      <c r="J21" s="18">
        <v>14400</v>
      </c>
      <c r="K21" s="18">
        <v>60</v>
      </c>
      <c r="L21" s="9">
        <f>K21/3600</f>
        <v>1.6666666666666666E-2</v>
      </c>
      <c r="M21" s="9"/>
      <c r="N21" s="18">
        <f t="shared" si="7"/>
        <v>288000</v>
      </c>
      <c r="O21" s="18"/>
      <c r="P21" s="9">
        <f>L21*J21</f>
        <v>240</v>
      </c>
      <c r="Q21" s="18"/>
      <c r="R21" s="18"/>
      <c r="S21" s="18"/>
      <c r="T21" s="18"/>
      <c r="U21" s="18"/>
      <c r="V21" s="18"/>
      <c r="W21" s="9">
        <f>N21*L21</f>
        <v>4800</v>
      </c>
      <c r="X21" s="30">
        <f t="shared" si="8"/>
        <v>4</v>
      </c>
      <c r="Y21" s="30">
        <f t="shared" si="9"/>
        <v>80</v>
      </c>
      <c r="Z21" s="1"/>
      <c r="AA21" s="1"/>
      <c r="AB21" s="1"/>
      <c r="AC21" s="1"/>
      <c r="AD21" s="1"/>
      <c r="AE21" s="1"/>
      <c r="AF21" s="161"/>
      <c r="AG21" s="1"/>
      <c r="AH21" s="1"/>
    </row>
    <row r="22" spans="1:34">
      <c r="A22" s="306"/>
      <c r="B22" s="325"/>
      <c r="C22" s="18"/>
      <c r="D22" s="18"/>
      <c r="E22" s="7">
        <f t="shared" si="0"/>
        <v>0</v>
      </c>
      <c r="F22" s="7">
        <f t="shared" si="4"/>
        <v>0</v>
      </c>
      <c r="G22" s="308">
        <f t="shared" si="5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306"/>
      <c r="B23" s="325"/>
      <c r="C23" s="6"/>
      <c r="D23" s="6"/>
      <c r="E23" s="7">
        <f>C23*D23</f>
        <v>0</v>
      </c>
      <c r="F23" s="7">
        <f t="shared" si="4"/>
        <v>0</v>
      </c>
      <c r="G23" s="308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Y23" s="1"/>
      <c r="Z23" s="280"/>
      <c r="AA23" s="160"/>
      <c r="AB23" s="159"/>
      <c r="AC23" s="1"/>
      <c r="AD23" s="1"/>
      <c r="AE23" s="1"/>
      <c r="AF23" s="1"/>
      <c r="AG23" s="1"/>
      <c r="AH23" s="1"/>
    </row>
    <row r="24" spans="1:34" ht="15" thickBot="1">
      <c r="A24" s="309"/>
      <c r="B24" s="327"/>
      <c r="C24" s="310"/>
      <c r="D24" s="310"/>
      <c r="E24" s="312">
        <f>C24*D24</f>
        <v>0</v>
      </c>
      <c r="F24" s="312">
        <f t="shared" si="4"/>
        <v>0</v>
      </c>
      <c r="G24" s="313">
        <f t="shared" si="5"/>
        <v>0</v>
      </c>
      <c r="H24" s="1"/>
      <c r="I24" s="363" t="s">
        <v>24</v>
      </c>
      <c r="J24" s="364"/>
      <c r="K24" s="364"/>
      <c r="L24" s="365"/>
      <c r="M24" s="3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1"/>
      <c r="Z24" s="280"/>
      <c r="AA24" s="160"/>
      <c r="AB24" s="159"/>
      <c r="AC24" s="1"/>
      <c r="AD24" s="1"/>
      <c r="AE24" s="1"/>
      <c r="AF24" s="1"/>
      <c r="AG24" s="1"/>
      <c r="AH24" s="1"/>
    </row>
    <row r="25" spans="1:34" ht="14.25">
      <c r="A25" s="301" t="s">
        <v>389</v>
      </c>
      <c r="B25" s="323" t="s">
        <v>373</v>
      </c>
      <c r="C25" s="302">
        <v>6.54</v>
      </c>
      <c r="D25" s="303">
        <v>1</v>
      </c>
      <c r="E25" s="304">
        <f>C25*D25</f>
        <v>6.54</v>
      </c>
      <c r="F25" s="304">
        <f t="shared" si="4"/>
        <v>8.0442</v>
      </c>
      <c r="G25" s="305">
        <f t="shared" si="5"/>
        <v>1.5042</v>
      </c>
      <c r="H25" s="1"/>
      <c r="I25" s="137" t="s">
        <v>21</v>
      </c>
      <c r="J25" s="137" t="s">
        <v>22</v>
      </c>
      <c r="K25" s="137" t="s">
        <v>23</v>
      </c>
      <c r="L25" s="137" t="s">
        <v>10</v>
      </c>
      <c r="M25" s="3"/>
      <c r="N25" s="1"/>
      <c r="O25" s="1"/>
      <c r="P25" s="1"/>
      <c r="Q25" s="1"/>
      <c r="R25" s="1"/>
      <c r="S25" s="1"/>
      <c r="T25" s="1"/>
      <c r="U25" s="1"/>
      <c r="V25" s="1"/>
      <c r="Z25" s="281"/>
      <c r="AA25" s="1"/>
    </row>
    <row r="26" spans="1:34">
      <c r="A26" s="306" t="s">
        <v>389</v>
      </c>
      <c r="B26" s="324" t="s">
        <v>376</v>
      </c>
      <c r="C26" s="255">
        <v>6.87</v>
      </c>
      <c r="D26" s="256">
        <v>1</v>
      </c>
      <c r="E26" s="7">
        <f>C26*D26</f>
        <v>6.87</v>
      </c>
      <c r="F26" s="7">
        <f t="shared" si="4"/>
        <v>8.4501000000000008</v>
      </c>
      <c r="G26" s="308">
        <f t="shared" si="5"/>
        <v>1.5801000000000007</v>
      </c>
      <c r="H26" s="1"/>
      <c r="I26" s="6"/>
      <c r="J26" s="7">
        <v>0</v>
      </c>
      <c r="K26" s="7">
        <f t="shared" ref="K26:K33" si="10">J26*1.23</f>
        <v>0</v>
      </c>
      <c r="L26" s="7">
        <f t="shared" ref="L26:L33" si="11">K26-J26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Z26" s="281"/>
    </row>
    <row r="27" spans="1:34">
      <c r="A27" s="306" t="s">
        <v>390</v>
      </c>
      <c r="B27" s="325" t="s">
        <v>377</v>
      </c>
      <c r="C27" s="18">
        <v>23.47</v>
      </c>
      <c r="D27" s="6">
        <v>7</v>
      </c>
      <c r="E27" s="7">
        <f t="shared" ref="E27:E28" si="12">C27*D27</f>
        <v>164.29</v>
      </c>
      <c r="F27" s="7">
        <f t="shared" si="4"/>
        <v>202.07669999999999</v>
      </c>
      <c r="G27" s="308">
        <f t="shared" si="5"/>
        <v>37.786699999999996</v>
      </c>
      <c r="H27" s="1"/>
      <c r="I27" s="6"/>
      <c r="J27" s="7">
        <v>0</v>
      </c>
      <c r="K27" s="7">
        <f t="shared" si="10"/>
        <v>0</v>
      </c>
      <c r="L27" s="7">
        <f>K27-J27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Z27" s="281"/>
    </row>
    <row r="28" spans="1:34">
      <c r="A28" s="306"/>
      <c r="B28" s="325"/>
      <c r="C28" s="18"/>
      <c r="D28" s="6"/>
      <c r="E28" s="7">
        <f t="shared" si="12"/>
        <v>0</v>
      </c>
      <c r="F28" s="7">
        <f t="shared" si="4"/>
        <v>0</v>
      </c>
      <c r="G28" s="308">
        <f t="shared" si="5"/>
        <v>0</v>
      </c>
      <c r="H28" s="1"/>
      <c r="I28" s="6" t="s">
        <v>174</v>
      </c>
      <c r="J28" s="7">
        <v>5</v>
      </c>
      <c r="K28" s="7">
        <f t="shared" si="10"/>
        <v>6.15</v>
      </c>
      <c r="L28" s="7">
        <f t="shared" si="11"/>
        <v>1.1500000000000004</v>
      </c>
      <c r="M28" s="3"/>
      <c r="N28" s="1"/>
      <c r="O28" s="1"/>
      <c r="P28" s="1"/>
      <c r="Q28" s="1"/>
      <c r="R28" s="1"/>
      <c r="S28" s="1"/>
      <c r="T28" s="1"/>
      <c r="U28" s="1"/>
      <c r="V28" s="1"/>
      <c r="Z28" s="281"/>
    </row>
    <row r="29" spans="1:34">
      <c r="A29" s="306"/>
      <c r="B29" s="324"/>
      <c r="C29" s="18"/>
      <c r="D29" s="18"/>
      <c r="E29" s="7">
        <f>C29*D29</f>
        <v>0</v>
      </c>
      <c r="F29" s="7">
        <f t="shared" si="4"/>
        <v>0</v>
      </c>
      <c r="G29" s="314">
        <f t="shared" si="5"/>
        <v>0</v>
      </c>
      <c r="H29" s="1"/>
      <c r="I29" s="6" t="s">
        <v>339</v>
      </c>
      <c r="J29" s="7">
        <v>5</v>
      </c>
      <c r="K29" s="7">
        <f t="shared" si="10"/>
        <v>6.15</v>
      </c>
      <c r="L29" s="7">
        <f t="shared" si="11"/>
        <v>1.1500000000000004</v>
      </c>
      <c r="M29" s="3"/>
      <c r="N29" s="1"/>
      <c r="O29" s="1"/>
      <c r="P29" s="1"/>
      <c r="Q29" s="1"/>
      <c r="R29" s="1"/>
      <c r="S29" s="1"/>
      <c r="T29" s="1"/>
      <c r="U29" s="1"/>
      <c r="V29" s="1"/>
      <c r="Z29" s="318"/>
    </row>
    <row r="30" spans="1:34">
      <c r="A30" s="306"/>
      <c r="B30" s="324"/>
      <c r="C30" s="18"/>
      <c r="D30" s="6"/>
      <c r="E30" s="7">
        <f t="shared" ref="E30:E32" si="13">C30*D30</f>
        <v>0</v>
      </c>
      <c r="F30" s="7">
        <f t="shared" si="4"/>
        <v>0</v>
      </c>
      <c r="G30" s="308">
        <f t="shared" si="5"/>
        <v>0</v>
      </c>
      <c r="H30" s="1"/>
      <c r="I30" s="6" t="s">
        <v>340</v>
      </c>
      <c r="J30" s="7">
        <v>3</v>
      </c>
      <c r="K30" s="7">
        <f>J30*1.23</f>
        <v>3.69</v>
      </c>
      <c r="L30" s="7">
        <f t="shared" si="11"/>
        <v>0.69</v>
      </c>
      <c r="M30" s="3"/>
      <c r="N30" s="1"/>
      <c r="O30" s="1"/>
      <c r="P30" s="1"/>
      <c r="Q30" s="1"/>
      <c r="R30" s="1"/>
      <c r="S30" s="1"/>
      <c r="T30" s="1"/>
      <c r="U30" s="1"/>
      <c r="V30" s="1"/>
      <c r="Z30" s="318"/>
    </row>
    <row r="31" spans="1:34">
      <c r="A31" s="306"/>
      <c r="B31" s="324"/>
      <c r="C31" s="18"/>
      <c r="D31" s="255"/>
      <c r="E31" s="7">
        <f t="shared" si="13"/>
        <v>0</v>
      </c>
      <c r="F31" s="7">
        <f t="shared" si="4"/>
        <v>0</v>
      </c>
      <c r="G31" s="308">
        <f t="shared" si="5"/>
        <v>0</v>
      </c>
      <c r="H31" s="1"/>
      <c r="I31" s="6" t="s">
        <v>341</v>
      </c>
      <c r="J31" s="7">
        <v>2</v>
      </c>
      <c r="K31" s="7">
        <f t="shared" si="10"/>
        <v>2.46</v>
      </c>
      <c r="L31" s="7">
        <f t="shared" si="11"/>
        <v>0.45999999999999996</v>
      </c>
      <c r="M31" s="3"/>
      <c r="N31" s="66" t="s">
        <v>62</v>
      </c>
      <c r="O31" s="66"/>
      <c r="P31" s="66"/>
      <c r="Q31" s="66"/>
      <c r="R31" s="66"/>
      <c r="S31" s="66"/>
      <c r="T31" s="66"/>
      <c r="U31" s="66"/>
      <c r="V31" s="66"/>
      <c r="Z31" s="318"/>
    </row>
    <row r="32" spans="1:34">
      <c r="A32" s="306"/>
      <c r="B32" s="325"/>
      <c r="C32" s="18"/>
      <c r="D32" s="18"/>
      <c r="E32" s="7">
        <f t="shared" si="13"/>
        <v>0</v>
      </c>
      <c r="F32" s="7">
        <f t="shared" si="4"/>
        <v>0</v>
      </c>
      <c r="G32" s="308">
        <f t="shared" si="5"/>
        <v>0</v>
      </c>
      <c r="H32" s="1"/>
      <c r="I32" s="6" t="s">
        <v>225</v>
      </c>
      <c r="J32" s="7">
        <v>2</v>
      </c>
      <c r="K32" s="7">
        <f t="shared" si="10"/>
        <v>2.46</v>
      </c>
      <c r="L32" s="7">
        <f t="shared" si="11"/>
        <v>0.45999999999999996</v>
      </c>
      <c r="M32" s="3"/>
      <c r="N32" s="261">
        <f>SUM(J26:J36)</f>
        <v>37</v>
      </c>
      <c r="O32" s="261"/>
      <c r="P32" s="261"/>
      <c r="Q32" s="90" t="s">
        <v>181</v>
      </c>
      <c r="R32" s="139"/>
      <c r="S32" s="261"/>
      <c r="T32" s="261"/>
      <c r="U32" s="261"/>
      <c r="V32" s="261"/>
      <c r="W32" s="1"/>
      <c r="X32" s="1"/>
      <c r="Y32" s="1"/>
      <c r="Z32" s="318"/>
      <c r="AA32" s="1"/>
      <c r="AB32" s="1"/>
      <c r="AC32" s="1"/>
      <c r="AD32" s="1"/>
      <c r="AE32" s="1"/>
      <c r="AF32" s="1"/>
      <c r="AG32" s="1"/>
      <c r="AH32" s="1"/>
    </row>
    <row r="33" spans="1:34" ht="14.25">
      <c r="A33" s="306"/>
      <c r="B33" s="325"/>
      <c r="C33" s="6"/>
      <c r="D33" s="6"/>
      <c r="E33" s="7">
        <f>C33*D33</f>
        <v>0</v>
      </c>
      <c r="F33" s="7">
        <f t="shared" si="4"/>
        <v>0</v>
      </c>
      <c r="G33" s="308">
        <f t="shared" si="5"/>
        <v>0</v>
      </c>
      <c r="H33" s="1"/>
      <c r="I33" s="6" t="s">
        <v>351</v>
      </c>
      <c r="J33" s="9">
        <v>20</v>
      </c>
      <c r="K33" s="9">
        <f t="shared" si="10"/>
        <v>24.6</v>
      </c>
      <c r="L33" s="9">
        <f t="shared" si="11"/>
        <v>4.6000000000000014</v>
      </c>
      <c r="Q33" s="1" t="s">
        <v>182</v>
      </c>
      <c r="R33" s="144"/>
      <c r="W33" s="1"/>
      <c r="X33" s="1"/>
      <c r="Y33" s="1"/>
      <c r="Z33" s="318"/>
      <c r="AA33" s="1"/>
      <c r="AB33" s="1"/>
      <c r="AC33" s="1"/>
      <c r="AD33" s="1"/>
      <c r="AE33" s="1"/>
      <c r="AF33" s="1"/>
      <c r="AG33" s="1"/>
      <c r="AH33" s="1"/>
    </row>
    <row r="34" spans="1:34">
      <c r="A34" s="306"/>
      <c r="B34" s="324"/>
      <c r="C34" s="18"/>
      <c r="D34" s="18"/>
      <c r="E34" s="7">
        <f>C34*D34</f>
        <v>0</v>
      </c>
      <c r="F34" s="7">
        <f t="shared" si="4"/>
        <v>0</v>
      </c>
      <c r="G34" s="308">
        <f t="shared" si="5"/>
        <v>0</v>
      </c>
      <c r="H34" s="1"/>
      <c r="I34" s="6" t="s">
        <v>342</v>
      </c>
      <c r="J34" s="7">
        <v>0</v>
      </c>
      <c r="K34" s="7">
        <f>J34*1.23</f>
        <v>0</v>
      </c>
      <c r="L34" s="7">
        <f>K34-J34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80"/>
      <c r="AA34" s="1"/>
      <c r="AB34" s="1"/>
      <c r="AC34" s="1"/>
      <c r="AD34" s="1"/>
      <c r="AE34" s="1"/>
      <c r="AF34" s="1"/>
      <c r="AG34" s="1"/>
      <c r="AH34" s="1"/>
    </row>
    <row r="35" spans="1:34">
      <c r="A35" s="315"/>
      <c r="B35" s="328"/>
      <c r="C35" s="6"/>
      <c r="D35" s="6"/>
      <c r="E35" s="7">
        <f t="shared" ref="E35:E37" si="14">C35*D35</f>
        <v>0</v>
      </c>
      <c r="F35" s="7">
        <f t="shared" si="4"/>
        <v>0</v>
      </c>
      <c r="G35" s="308">
        <f t="shared" si="5"/>
        <v>0</v>
      </c>
      <c r="H35" s="1"/>
      <c r="I35" s="6"/>
      <c r="J35" s="7">
        <v>0</v>
      </c>
      <c r="K35" s="7">
        <f>J35*1.23</f>
        <v>0</v>
      </c>
      <c r="L35" s="7">
        <f>K35-J35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15"/>
      <c r="B36" s="328"/>
      <c r="C36" s="6"/>
      <c r="D36" s="6"/>
      <c r="E36" s="7">
        <f t="shared" si="14"/>
        <v>0</v>
      </c>
      <c r="F36" s="7">
        <f t="shared" si="4"/>
        <v>0</v>
      </c>
      <c r="G36" s="314">
        <f t="shared" si="5"/>
        <v>0</v>
      </c>
      <c r="H36" s="1"/>
      <c r="I36" s="6"/>
      <c r="J36" s="7">
        <v>0</v>
      </c>
      <c r="K36" s="7">
        <f>J36*1.23</f>
        <v>0</v>
      </c>
      <c r="L36" s="7">
        <f>K36-J36</f>
        <v>0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thickBot="1">
      <c r="A37" s="316"/>
      <c r="B37" s="329"/>
      <c r="C37" s="311"/>
      <c r="D37" s="311"/>
      <c r="E37" s="312">
        <f t="shared" si="14"/>
        <v>0</v>
      </c>
      <c r="F37" s="312">
        <f t="shared" si="4"/>
        <v>0</v>
      </c>
      <c r="G37" s="313">
        <f t="shared" si="5"/>
        <v>0</v>
      </c>
      <c r="H37" s="1"/>
      <c r="I37" s="1"/>
      <c r="J37" s="1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" thickBot="1">
      <c r="A38" s="301" t="s">
        <v>389</v>
      </c>
      <c r="B38" s="324" t="s">
        <v>378</v>
      </c>
      <c r="C38" s="302">
        <v>4.34</v>
      </c>
      <c r="D38" s="303">
        <v>1</v>
      </c>
      <c r="E38" s="304">
        <f>C38*D38</f>
        <v>4.34</v>
      </c>
      <c r="F38" s="304">
        <f t="shared" si="4"/>
        <v>5.3381999999999996</v>
      </c>
      <c r="G38" s="305">
        <f t="shared" si="5"/>
        <v>0.99819999999999975</v>
      </c>
      <c r="H38" s="1"/>
      <c r="I38" s="140" t="s">
        <v>24</v>
      </c>
      <c r="J38" s="141" t="s">
        <v>73</v>
      </c>
      <c r="K38" s="141" t="s">
        <v>74</v>
      </c>
      <c r="L38" s="141" t="s">
        <v>75</v>
      </c>
      <c r="M38" s="142" t="s">
        <v>10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06" t="s">
        <v>389</v>
      </c>
      <c r="B39" s="324" t="s">
        <v>379</v>
      </c>
      <c r="C39" s="41">
        <v>7.18</v>
      </c>
      <c r="D39" s="256">
        <v>1</v>
      </c>
      <c r="E39" s="7">
        <f>C39*D39</f>
        <v>7.18</v>
      </c>
      <c r="F39" s="7">
        <f t="shared" si="4"/>
        <v>8.8314000000000004</v>
      </c>
      <c r="G39" s="308">
        <f t="shared" si="5"/>
        <v>1.6514000000000006</v>
      </c>
      <c r="H39" s="1"/>
      <c r="I39" s="158" t="s">
        <v>322</v>
      </c>
      <c r="J39" s="41">
        <v>1</v>
      </c>
      <c r="K39" s="42">
        <v>0</v>
      </c>
      <c r="L39" s="42">
        <f>K39*1.23</f>
        <v>0</v>
      </c>
      <c r="M39" s="43">
        <f t="shared" ref="M39:M47" si="15">L39-K39</f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306" t="s">
        <v>390</v>
      </c>
      <c r="B40" s="325" t="s">
        <v>377</v>
      </c>
      <c r="C40" s="18">
        <v>25.39</v>
      </c>
      <c r="D40" s="6">
        <v>7</v>
      </c>
      <c r="E40" s="7">
        <f t="shared" ref="E40:E41" si="16">C40*D40</f>
        <v>177.73000000000002</v>
      </c>
      <c r="F40" s="7">
        <f t="shared" si="4"/>
        <v>218.60790000000003</v>
      </c>
      <c r="G40" s="308">
        <f t="shared" si="5"/>
        <v>40.877900000000011</v>
      </c>
      <c r="H40" s="1"/>
      <c r="I40" s="30" t="s">
        <v>196</v>
      </c>
      <c r="J40" s="18">
        <v>2</v>
      </c>
      <c r="K40" s="9">
        <v>0</v>
      </c>
      <c r="L40" s="42">
        <f t="shared" ref="L40:L47" si="17">K40*1.23</f>
        <v>0</v>
      </c>
      <c r="M40" s="43">
        <f t="shared" si="15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306"/>
      <c r="B41" s="325"/>
      <c r="C41" s="18"/>
      <c r="D41" s="6"/>
      <c r="E41" s="7">
        <f t="shared" si="16"/>
        <v>0</v>
      </c>
      <c r="F41" s="7">
        <f t="shared" si="4"/>
        <v>0</v>
      </c>
      <c r="G41" s="308">
        <f t="shared" si="5"/>
        <v>0</v>
      </c>
      <c r="H41" s="1"/>
      <c r="I41" s="18" t="s">
        <v>203</v>
      </c>
      <c r="J41" s="18"/>
      <c r="K41" s="9">
        <v>0</v>
      </c>
      <c r="L41" s="42">
        <f t="shared" si="17"/>
        <v>0</v>
      </c>
      <c r="M41" s="43">
        <f t="shared" si="15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306"/>
      <c r="B42" s="324"/>
      <c r="C42" s="18"/>
      <c r="D42" s="18"/>
      <c r="E42" s="7">
        <f>C42*D42</f>
        <v>0</v>
      </c>
      <c r="F42" s="7">
        <f t="shared" si="4"/>
        <v>0</v>
      </c>
      <c r="G42" s="314">
        <f t="shared" si="5"/>
        <v>0</v>
      </c>
      <c r="H42" s="1"/>
      <c r="I42" s="18"/>
      <c r="J42" s="18"/>
      <c r="K42" s="153">
        <v>0</v>
      </c>
      <c r="L42" s="42">
        <f t="shared" si="17"/>
        <v>0</v>
      </c>
      <c r="M42" s="43">
        <f t="shared" si="15"/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306"/>
      <c r="B43" s="324"/>
      <c r="C43" s="18"/>
      <c r="D43" s="6"/>
      <c r="E43" s="7">
        <f t="shared" ref="E43:E45" si="18">C43*D43</f>
        <v>0</v>
      </c>
      <c r="F43" s="7">
        <f t="shared" si="4"/>
        <v>0</v>
      </c>
      <c r="G43" s="308">
        <f t="shared" si="5"/>
        <v>0</v>
      </c>
      <c r="H43" s="1"/>
      <c r="I43" s="18"/>
      <c r="J43" s="18"/>
      <c r="K43" s="153">
        <v>0</v>
      </c>
      <c r="L43" s="42">
        <f t="shared" si="17"/>
        <v>0</v>
      </c>
      <c r="M43" s="43">
        <f t="shared" si="15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06"/>
      <c r="B44" s="324"/>
      <c r="C44" s="18"/>
      <c r="D44" s="255"/>
      <c r="E44" s="7">
        <f t="shared" si="18"/>
        <v>0</v>
      </c>
      <c r="F44" s="7">
        <f t="shared" si="4"/>
        <v>0</v>
      </c>
      <c r="G44" s="308">
        <f t="shared" si="5"/>
        <v>0</v>
      </c>
      <c r="H44" s="1"/>
      <c r="I44" s="18"/>
      <c r="J44" s="18"/>
      <c r="K44" s="153">
        <v>0</v>
      </c>
      <c r="L44" s="42">
        <f t="shared" si="17"/>
        <v>0</v>
      </c>
      <c r="M44" s="43">
        <f t="shared" si="15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306"/>
      <c r="B45" s="325"/>
      <c r="C45" s="18"/>
      <c r="D45" s="18"/>
      <c r="E45" s="7">
        <f t="shared" si="18"/>
        <v>0</v>
      </c>
      <c r="F45" s="7">
        <f t="shared" si="4"/>
        <v>0</v>
      </c>
      <c r="G45" s="308">
        <f t="shared" si="5"/>
        <v>0</v>
      </c>
      <c r="H45" s="1"/>
      <c r="I45" s="18"/>
      <c r="J45" s="18"/>
      <c r="K45" s="153">
        <v>0</v>
      </c>
      <c r="L45" s="42">
        <f t="shared" si="17"/>
        <v>0</v>
      </c>
      <c r="M45" s="43">
        <f t="shared" si="15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306"/>
      <c r="B46" s="325"/>
      <c r="C46" s="6"/>
      <c r="D46" s="6"/>
      <c r="E46" s="7">
        <f>C46*D46</f>
        <v>0</v>
      </c>
      <c r="F46" s="7">
        <f t="shared" si="4"/>
        <v>0</v>
      </c>
      <c r="G46" s="308">
        <f t="shared" si="5"/>
        <v>0</v>
      </c>
      <c r="H46" s="1"/>
      <c r="I46" s="6"/>
      <c r="J46" s="6"/>
      <c r="K46" s="153">
        <v>0</v>
      </c>
      <c r="L46" s="42">
        <f t="shared" si="17"/>
        <v>0</v>
      </c>
      <c r="M46" s="43">
        <f t="shared" si="15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thickBot="1">
      <c r="A47" s="306"/>
      <c r="B47" s="324"/>
      <c r="C47" s="18"/>
      <c r="D47" s="18"/>
      <c r="E47" s="7">
        <f>C47*D47</f>
        <v>0</v>
      </c>
      <c r="F47" s="7">
        <f t="shared" si="4"/>
        <v>0</v>
      </c>
      <c r="G47" s="308">
        <f t="shared" si="5"/>
        <v>0</v>
      </c>
      <c r="H47" s="1"/>
      <c r="I47" s="35"/>
      <c r="J47" s="35"/>
      <c r="K47" s="155">
        <v>0</v>
      </c>
      <c r="L47" s="42">
        <f t="shared" si="17"/>
        <v>0</v>
      </c>
      <c r="M47" s="43">
        <f t="shared" si="15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thickBot="1">
      <c r="A48" s="316"/>
      <c r="B48" s="329"/>
      <c r="C48" s="311"/>
      <c r="D48" s="311"/>
      <c r="E48" s="312">
        <f t="shared" ref="E48" si="19">C48*D48</f>
        <v>0</v>
      </c>
      <c r="F48" s="312">
        <f t="shared" si="4"/>
        <v>0</v>
      </c>
      <c r="G48" s="313">
        <f t="shared" si="5"/>
        <v>0</v>
      </c>
      <c r="H48" s="1"/>
      <c r="I48" s="39" t="s">
        <v>18</v>
      </c>
      <c r="J48" s="44"/>
      <c r="K48" s="154">
        <f>SUM(K39:K47)</f>
        <v>0</v>
      </c>
      <c r="L48" s="76">
        <f>SUM(L39:L47)</f>
        <v>0</v>
      </c>
      <c r="M48" s="40">
        <f>SUM(M39:M47)</f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26">
      <c r="A49" s="301" t="s">
        <v>213</v>
      </c>
      <c r="B49" s="326" t="s">
        <v>380</v>
      </c>
      <c r="C49" s="302">
        <v>3.32</v>
      </c>
      <c r="D49" s="303">
        <v>1</v>
      </c>
      <c r="E49" s="304">
        <f>C49*D49</f>
        <v>3.32</v>
      </c>
      <c r="F49" s="304">
        <f t="shared" si="4"/>
        <v>4.0835999999999997</v>
      </c>
      <c r="G49" s="305">
        <f t="shared" si="5"/>
        <v>0.76359999999999983</v>
      </c>
      <c r="I49" s="1"/>
      <c r="J49" s="1"/>
      <c r="K49" s="1"/>
      <c r="L49" s="1"/>
      <c r="M49" s="1"/>
    </row>
    <row r="50" spans="1:26" ht="15">
      <c r="A50" s="306" t="s">
        <v>213</v>
      </c>
      <c r="B50" s="324" t="s">
        <v>359</v>
      </c>
      <c r="C50" s="18">
        <v>1.19</v>
      </c>
      <c r="D50" s="6">
        <v>15</v>
      </c>
      <c r="E50" s="7">
        <f>C50*D50</f>
        <v>17.849999999999998</v>
      </c>
      <c r="F50" s="7">
        <f t="shared" si="4"/>
        <v>21.955499999999997</v>
      </c>
      <c r="G50" s="308">
        <f t="shared" si="5"/>
        <v>4.1054999999999993</v>
      </c>
      <c r="I50" s="143" t="s">
        <v>21</v>
      </c>
      <c r="J50" s="143" t="s">
        <v>22</v>
      </c>
      <c r="K50" s="143" t="s">
        <v>23</v>
      </c>
      <c r="L50" s="143" t="s">
        <v>10</v>
      </c>
      <c r="M50" s="1"/>
      <c r="W50" s="117"/>
      <c r="X50" s="117"/>
      <c r="Y50" s="117"/>
      <c r="Z50" s="117"/>
    </row>
    <row r="51" spans="1:26">
      <c r="A51" s="306" t="s">
        <v>213</v>
      </c>
      <c r="B51" s="325" t="s">
        <v>277</v>
      </c>
      <c r="C51" s="18">
        <v>14.94</v>
      </c>
      <c r="D51" s="6">
        <v>1</v>
      </c>
      <c r="E51" s="7">
        <f t="shared" ref="E51:E52" si="20">C51*D51</f>
        <v>14.94</v>
      </c>
      <c r="F51" s="7">
        <f t="shared" si="4"/>
        <v>18.376200000000001</v>
      </c>
      <c r="G51" s="308">
        <f t="shared" si="5"/>
        <v>3.4362000000000013</v>
      </c>
      <c r="I51" s="6" t="s">
        <v>388</v>
      </c>
      <c r="J51" s="6"/>
      <c r="K51" s="6"/>
      <c r="L51" s="6"/>
      <c r="M51" s="1"/>
      <c r="W51" s="3"/>
      <c r="X51" s="26"/>
      <c r="Y51" s="26"/>
      <c r="Z51" s="26"/>
    </row>
    <row r="52" spans="1:26">
      <c r="A52" s="306" t="s">
        <v>212</v>
      </c>
      <c r="B52" s="325" t="s">
        <v>185</v>
      </c>
      <c r="C52" s="18">
        <v>38.89</v>
      </c>
      <c r="D52" s="6">
        <v>3</v>
      </c>
      <c r="E52" s="7">
        <f t="shared" si="20"/>
        <v>116.67</v>
      </c>
      <c r="F52" s="7">
        <f t="shared" si="4"/>
        <v>143.50409999999999</v>
      </c>
      <c r="G52" s="308">
        <f t="shared" si="5"/>
        <v>26.834099999999992</v>
      </c>
      <c r="I52" s="6" t="s">
        <v>24</v>
      </c>
      <c r="J52" s="7">
        <f>K48</f>
        <v>0</v>
      </c>
      <c r="K52" s="7">
        <f>L48</f>
        <v>0</v>
      </c>
      <c r="L52" s="7">
        <f>M48</f>
        <v>0</v>
      </c>
      <c r="M52" s="3"/>
      <c r="W52" s="3"/>
      <c r="X52" s="26"/>
      <c r="Y52" s="26"/>
      <c r="Z52" s="26"/>
    </row>
    <row r="53" spans="1:26" ht="15">
      <c r="A53" s="306"/>
      <c r="B53" s="324"/>
      <c r="C53" s="18"/>
      <c r="D53" s="18"/>
      <c r="E53" s="7">
        <f>C53*D53</f>
        <v>0</v>
      </c>
      <c r="F53" s="7">
        <f t="shared" si="4"/>
        <v>0</v>
      </c>
      <c r="G53" s="314">
        <f t="shared" si="5"/>
        <v>0</v>
      </c>
      <c r="I53" s="148" t="s">
        <v>25</v>
      </c>
      <c r="J53" s="147">
        <f>J51-J52</f>
        <v>0</v>
      </c>
      <c r="K53" s="149">
        <f>K51-K52</f>
        <v>0</v>
      </c>
      <c r="L53" s="150">
        <f>L51-L52</f>
        <v>0</v>
      </c>
      <c r="W53" s="3"/>
      <c r="X53" s="26"/>
      <c r="Y53" s="26"/>
      <c r="Z53" s="26"/>
    </row>
    <row r="54" spans="1:26">
      <c r="A54" s="306"/>
      <c r="B54" s="324"/>
      <c r="C54" s="18"/>
      <c r="D54" s="18"/>
      <c r="E54" s="7">
        <f t="shared" ref="E54:E55" si="21">C54*D54</f>
        <v>0</v>
      </c>
      <c r="F54" s="7">
        <f t="shared" si="4"/>
        <v>0</v>
      </c>
      <c r="G54" s="308">
        <f t="shared" si="5"/>
        <v>0</v>
      </c>
      <c r="W54" s="157"/>
      <c r="X54" s="262"/>
      <c r="Y54" s="157"/>
      <c r="Z54" s="262"/>
    </row>
    <row r="55" spans="1:26" ht="13.5" thickBot="1">
      <c r="A55" s="309"/>
      <c r="B55" s="327"/>
      <c r="C55" s="310"/>
      <c r="D55" s="317"/>
      <c r="E55" s="312">
        <f t="shared" si="21"/>
        <v>0</v>
      </c>
      <c r="F55" s="312">
        <f t="shared" si="4"/>
        <v>0</v>
      </c>
      <c r="G55" s="313">
        <f t="shared" si="5"/>
        <v>0</v>
      </c>
    </row>
    <row r="56" spans="1:26">
      <c r="A56" s="301" t="s">
        <v>213</v>
      </c>
      <c r="B56" s="326" t="s">
        <v>380</v>
      </c>
      <c r="C56" s="302">
        <v>3.32</v>
      </c>
      <c r="D56" s="303">
        <v>1</v>
      </c>
      <c r="E56" s="304">
        <f>C56*D56</f>
        <v>3.32</v>
      </c>
      <c r="F56" s="304">
        <f t="shared" si="4"/>
        <v>4.0835999999999997</v>
      </c>
      <c r="G56" s="305">
        <f t="shared" si="5"/>
        <v>0.76359999999999983</v>
      </c>
    </row>
    <row r="57" spans="1:26">
      <c r="A57" s="306" t="s">
        <v>213</v>
      </c>
      <c r="B57" s="324" t="s">
        <v>359</v>
      </c>
      <c r="C57" s="18">
        <v>1.19</v>
      </c>
      <c r="D57" s="6">
        <v>10</v>
      </c>
      <c r="E57" s="7">
        <f>C57*D57</f>
        <v>11.899999999999999</v>
      </c>
      <c r="F57" s="7">
        <f t="shared" si="4"/>
        <v>14.636999999999999</v>
      </c>
      <c r="G57" s="308">
        <f t="shared" si="5"/>
        <v>2.7370000000000001</v>
      </c>
    </row>
    <row r="58" spans="1:26">
      <c r="A58" s="306" t="s">
        <v>213</v>
      </c>
      <c r="B58" s="325" t="s">
        <v>277</v>
      </c>
      <c r="C58" s="18">
        <v>14.94</v>
      </c>
      <c r="D58" s="6">
        <v>1</v>
      </c>
      <c r="E58" s="7">
        <f t="shared" ref="E58:E59" si="22">C58*D58</f>
        <v>14.94</v>
      </c>
      <c r="F58" s="7">
        <f t="shared" si="4"/>
        <v>18.376200000000001</v>
      </c>
      <c r="G58" s="308">
        <f t="shared" si="5"/>
        <v>3.4362000000000013</v>
      </c>
    </row>
    <row r="59" spans="1:26">
      <c r="A59" s="306" t="s">
        <v>212</v>
      </c>
      <c r="B59" s="325" t="s">
        <v>185</v>
      </c>
      <c r="C59" s="18">
        <v>15</v>
      </c>
      <c r="D59" s="6">
        <v>3</v>
      </c>
      <c r="E59" s="7">
        <f t="shared" si="22"/>
        <v>45</v>
      </c>
      <c r="F59" s="7">
        <f t="shared" si="4"/>
        <v>55.35</v>
      </c>
      <c r="G59" s="308">
        <f t="shared" si="5"/>
        <v>10.350000000000001</v>
      </c>
    </row>
    <row r="60" spans="1:26">
      <c r="A60" s="306"/>
      <c r="B60" s="324"/>
      <c r="C60" s="18"/>
      <c r="D60" s="18"/>
      <c r="E60" s="7">
        <f>C60*D60</f>
        <v>0</v>
      </c>
      <c r="F60" s="7">
        <f t="shared" si="4"/>
        <v>0</v>
      </c>
      <c r="G60" s="314">
        <f t="shared" si="5"/>
        <v>0</v>
      </c>
    </row>
    <row r="61" spans="1:26">
      <c r="A61" s="306"/>
      <c r="B61" s="324"/>
      <c r="C61" s="18"/>
      <c r="D61" s="18"/>
      <c r="E61" s="7">
        <f t="shared" ref="E61:E65" si="23">C61*D61</f>
        <v>0</v>
      </c>
      <c r="F61" s="7">
        <f t="shared" si="4"/>
        <v>0</v>
      </c>
      <c r="G61" s="308">
        <f t="shared" si="5"/>
        <v>0</v>
      </c>
    </row>
    <row r="62" spans="1:26">
      <c r="A62" s="306"/>
      <c r="B62" s="324"/>
      <c r="C62" s="18"/>
      <c r="D62" s="255"/>
      <c r="E62" s="7">
        <f t="shared" si="23"/>
        <v>0</v>
      </c>
      <c r="F62" s="7">
        <f t="shared" si="4"/>
        <v>0</v>
      </c>
      <c r="G62" s="308">
        <f t="shared" si="5"/>
        <v>0</v>
      </c>
    </row>
    <row r="63" spans="1:26">
      <c r="A63" s="315"/>
      <c r="B63" s="328"/>
      <c r="C63" s="6"/>
      <c r="D63" s="6"/>
      <c r="E63" s="7">
        <f t="shared" si="23"/>
        <v>0</v>
      </c>
      <c r="F63" s="7">
        <f t="shared" si="4"/>
        <v>0</v>
      </c>
      <c r="G63" s="308">
        <f t="shared" si="5"/>
        <v>0</v>
      </c>
    </row>
    <row r="64" spans="1:26">
      <c r="A64" s="315"/>
      <c r="B64" s="328"/>
      <c r="C64" s="6"/>
      <c r="D64" s="6"/>
      <c r="E64" s="7">
        <f t="shared" si="23"/>
        <v>0</v>
      </c>
      <c r="F64" s="7">
        <f t="shared" si="4"/>
        <v>0</v>
      </c>
      <c r="G64" s="314">
        <f t="shared" si="5"/>
        <v>0</v>
      </c>
    </row>
    <row r="65" spans="1:7" ht="13.5" thickBot="1">
      <c r="A65" s="316"/>
      <c r="B65" s="329"/>
      <c r="C65" s="311"/>
      <c r="D65" s="311"/>
      <c r="E65" s="312">
        <f t="shared" si="23"/>
        <v>0</v>
      </c>
      <c r="F65" s="312">
        <f t="shared" si="4"/>
        <v>0</v>
      </c>
      <c r="G65" s="313">
        <f t="shared" si="5"/>
        <v>0</v>
      </c>
    </row>
    <row r="66" spans="1:7">
      <c r="A66" s="301" t="s">
        <v>213</v>
      </c>
      <c r="B66" s="326" t="s">
        <v>381</v>
      </c>
      <c r="C66" s="302">
        <v>2.75</v>
      </c>
      <c r="D66" s="303">
        <v>1</v>
      </c>
      <c r="E66" s="304">
        <f>C66*D66</f>
        <v>2.75</v>
      </c>
      <c r="F66" s="304">
        <f t="shared" si="4"/>
        <v>3.3824999999999998</v>
      </c>
      <c r="G66" s="305">
        <f t="shared" si="5"/>
        <v>0.63249999999999984</v>
      </c>
    </row>
    <row r="67" spans="1:7">
      <c r="A67" s="306" t="s">
        <v>213</v>
      </c>
      <c r="B67" s="324" t="s">
        <v>359</v>
      </c>
      <c r="C67" s="18">
        <v>1.19</v>
      </c>
      <c r="D67" s="6">
        <v>5</v>
      </c>
      <c r="E67" s="7">
        <f>C67*D67</f>
        <v>5.9499999999999993</v>
      </c>
      <c r="F67" s="7">
        <f t="shared" si="4"/>
        <v>7.3184999999999993</v>
      </c>
      <c r="G67" s="308">
        <f t="shared" si="5"/>
        <v>1.3685</v>
      </c>
    </row>
    <row r="68" spans="1:7">
      <c r="A68" s="306" t="s">
        <v>213</v>
      </c>
      <c r="B68" s="325" t="s">
        <v>277</v>
      </c>
      <c r="C68" s="18">
        <v>14.94</v>
      </c>
      <c r="D68" s="6">
        <v>1</v>
      </c>
      <c r="E68" s="7">
        <f t="shared" ref="E68:E69" si="24">C68*D68</f>
        <v>14.94</v>
      </c>
      <c r="F68" s="7">
        <f t="shared" si="4"/>
        <v>18.376200000000001</v>
      </c>
      <c r="G68" s="308">
        <f t="shared" si="5"/>
        <v>3.4362000000000013</v>
      </c>
    </row>
    <row r="69" spans="1:7">
      <c r="A69" s="306" t="s">
        <v>212</v>
      </c>
      <c r="B69" s="325" t="s">
        <v>185</v>
      </c>
      <c r="C69" s="18">
        <v>15</v>
      </c>
      <c r="D69" s="6">
        <v>3</v>
      </c>
      <c r="E69" s="7">
        <f t="shared" si="24"/>
        <v>45</v>
      </c>
      <c r="F69" s="7">
        <f t="shared" ref="F69:F82" si="25">E69*1.23</f>
        <v>55.35</v>
      </c>
      <c r="G69" s="308">
        <f t="shared" ref="G69:G82" si="26">F69-E69</f>
        <v>10.350000000000001</v>
      </c>
    </row>
    <row r="70" spans="1:7">
      <c r="A70" s="306"/>
      <c r="B70" s="325"/>
      <c r="C70" s="18"/>
      <c r="D70" s="6"/>
      <c r="E70" s="7">
        <f>C70*D70</f>
        <v>0</v>
      </c>
      <c r="F70" s="7">
        <f t="shared" si="25"/>
        <v>0</v>
      </c>
      <c r="G70" s="314">
        <f t="shared" si="26"/>
        <v>0</v>
      </c>
    </row>
    <row r="71" spans="1:7">
      <c r="A71" s="306"/>
      <c r="B71" s="324"/>
      <c r="C71" s="18"/>
      <c r="D71" s="18"/>
      <c r="E71" s="7">
        <f t="shared" ref="E71:E74" si="27">C71*D71</f>
        <v>0</v>
      </c>
      <c r="F71" s="7">
        <f t="shared" si="25"/>
        <v>0</v>
      </c>
      <c r="G71" s="308">
        <f t="shared" si="26"/>
        <v>0</v>
      </c>
    </row>
    <row r="72" spans="1:7">
      <c r="A72" s="306"/>
      <c r="B72" s="324"/>
      <c r="C72" s="18"/>
      <c r="D72" s="255"/>
      <c r="E72" s="7">
        <f t="shared" si="27"/>
        <v>0</v>
      </c>
      <c r="F72" s="7">
        <f t="shared" si="25"/>
        <v>0</v>
      </c>
      <c r="G72" s="308">
        <f t="shared" si="26"/>
        <v>0</v>
      </c>
    </row>
    <row r="73" spans="1:7">
      <c r="A73" s="315"/>
      <c r="B73" s="328"/>
      <c r="C73" s="6"/>
      <c r="D73" s="6"/>
      <c r="E73" s="7">
        <f t="shared" si="27"/>
        <v>0</v>
      </c>
      <c r="F73" s="7">
        <f t="shared" si="25"/>
        <v>0</v>
      </c>
      <c r="G73" s="314">
        <f t="shared" si="26"/>
        <v>0</v>
      </c>
    </row>
    <row r="74" spans="1:7" ht="13.5" thickBot="1">
      <c r="A74" s="321"/>
      <c r="B74" s="330"/>
      <c r="C74" s="35"/>
      <c r="D74" s="35"/>
      <c r="E74" s="38">
        <f t="shared" si="27"/>
        <v>0</v>
      </c>
      <c r="F74" s="38">
        <f t="shared" si="25"/>
        <v>0</v>
      </c>
      <c r="G74" s="320">
        <f t="shared" si="26"/>
        <v>0</v>
      </c>
    </row>
    <row r="75" spans="1:7">
      <c r="A75" s="301" t="s">
        <v>188</v>
      </c>
      <c r="B75" s="326" t="s">
        <v>382</v>
      </c>
      <c r="C75" s="302">
        <v>5</v>
      </c>
      <c r="D75" s="303">
        <v>1</v>
      </c>
      <c r="E75" s="304">
        <f>C75*D75</f>
        <v>5</v>
      </c>
      <c r="F75" s="304">
        <f t="shared" si="25"/>
        <v>6.15</v>
      </c>
      <c r="G75" s="305">
        <f t="shared" si="26"/>
        <v>1.1500000000000004</v>
      </c>
    </row>
    <row r="76" spans="1:7">
      <c r="A76" s="306"/>
      <c r="B76" s="324" t="s">
        <v>354</v>
      </c>
      <c r="C76" s="18">
        <v>2</v>
      </c>
      <c r="D76" s="6">
        <v>2</v>
      </c>
      <c r="E76" s="7">
        <f>C76*D76</f>
        <v>4</v>
      </c>
      <c r="F76" s="7">
        <f t="shared" si="25"/>
        <v>4.92</v>
      </c>
      <c r="G76" s="308">
        <f t="shared" si="26"/>
        <v>0.91999999999999993</v>
      </c>
    </row>
    <row r="77" spans="1:7">
      <c r="A77" s="306"/>
      <c r="B77" s="324" t="s">
        <v>185</v>
      </c>
      <c r="C77" s="18">
        <v>9.8699999999999992</v>
      </c>
      <c r="D77" s="6">
        <v>3</v>
      </c>
      <c r="E77" s="7">
        <f t="shared" ref="E77:E78" si="28">C77*D77</f>
        <v>29.61</v>
      </c>
      <c r="F77" s="7">
        <f t="shared" si="25"/>
        <v>36.420299999999997</v>
      </c>
      <c r="G77" s="308">
        <f t="shared" si="26"/>
        <v>6.810299999999998</v>
      </c>
    </row>
    <row r="78" spans="1:7">
      <c r="A78" s="306"/>
      <c r="B78" s="325"/>
      <c r="C78" s="18"/>
      <c r="D78" s="6"/>
      <c r="E78" s="7">
        <f t="shared" si="28"/>
        <v>0</v>
      </c>
      <c r="F78" s="7">
        <f t="shared" si="25"/>
        <v>0</v>
      </c>
      <c r="G78" s="308">
        <f t="shared" si="26"/>
        <v>0</v>
      </c>
    </row>
    <row r="79" spans="1:7">
      <c r="A79" s="306"/>
      <c r="B79" s="325"/>
      <c r="C79" s="18"/>
      <c r="D79" s="6"/>
      <c r="E79" s="7">
        <f>C79*D79</f>
        <v>0</v>
      </c>
      <c r="F79" s="7">
        <f t="shared" si="25"/>
        <v>0</v>
      </c>
      <c r="G79" s="314">
        <f t="shared" si="26"/>
        <v>0</v>
      </c>
    </row>
    <row r="80" spans="1:7">
      <c r="A80" s="306"/>
      <c r="B80" s="324"/>
      <c r="C80" s="18"/>
      <c r="D80" s="18"/>
      <c r="E80" s="7">
        <f t="shared" ref="E80:E82" si="29">C80*D80</f>
        <v>0</v>
      </c>
      <c r="F80" s="7">
        <f t="shared" si="25"/>
        <v>0</v>
      </c>
      <c r="G80" s="308">
        <f t="shared" si="26"/>
        <v>0</v>
      </c>
    </row>
    <row r="81" spans="1:7">
      <c r="A81" s="306"/>
      <c r="B81" s="324"/>
      <c r="C81" s="18"/>
      <c r="D81" s="18"/>
      <c r="E81" s="7">
        <f t="shared" si="29"/>
        <v>0</v>
      </c>
      <c r="F81" s="7">
        <f t="shared" si="25"/>
        <v>0</v>
      </c>
      <c r="G81" s="308">
        <f t="shared" si="26"/>
        <v>0</v>
      </c>
    </row>
    <row r="82" spans="1:7" ht="13.5" thickBot="1">
      <c r="A82" s="316"/>
      <c r="B82" s="331"/>
      <c r="C82" s="310"/>
      <c r="D82" s="310"/>
      <c r="E82" s="312">
        <f t="shared" si="29"/>
        <v>0</v>
      </c>
      <c r="F82" s="312">
        <f t="shared" si="25"/>
        <v>0</v>
      </c>
      <c r="G82" s="313">
        <f t="shared" si="26"/>
        <v>0</v>
      </c>
    </row>
  </sheetData>
  <mergeCells count="2">
    <mergeCell ref="AF18:AF19"/>
    <mergeCell ref="I24:L24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2" sqref="A2"/>
    </sheetView>
  </sheetViews>
  <sheetFormatPr defaultRowHeight="12.75"/>
  <cols>
    <col min="1" max="1" width="91.42578125" style="294" customWidth="1"/>
    <col min="2" max="2" width="17.85546875" style="294" customWidth="1"/>
    <col min="3" max="3" width="11.140625" style="284" customWidth="1"/>
    <col min="4" max="4" width="14.85546875" style="284" customWidth="1"/>
    <col min="5" max="5" width="14.5703125" style="284" customWidth="1"/>
    <col min="6" max="6" width="34.140625" style="284" customWidth="1"/>
    <col min="7" max="7" width="10.42578125" style="284" customWidth="1"/>
    <col min="8" max="8" width="14.140625" style="284" customWidth="1"/>
    <col min="9" max="9" width="11" style="284" customWidth="1"/>
    <col min="10" max="10" width="12" style="284" customWidth="1"/>
    <col min="11" max="16384" width="9.140625" style="284"/>
  </cols>
  <sheetData>
    <row r="1" spans="1:10">
      <c r="A1" s="293" t="s">
        <v>333</v>
      </c>
      <c r="B1" s="296" t="s">
        <v>334</v>
      </c>
      <c r="C1" s="283" t="s">
        <v>336</v>
      </c>
      <c r="D1" s="283" t="s">
        <v>335</v>
      </c>
      <c r="E1" s="283" t="s">
        <v>337</v>
      </c>
      <c r="F1" s="283" t="s">
        <v>338</v>
      </c>
    </row>
    <row r="2" spans="1:10">
      <c r="A2" s="285"/>
      <c r="B2" s="295"/>
      <c r="F2" s="286"/>
    </row>
    <row r="3" spans="1:10">
      <c r="A3" s="285"/>
      <c r="B3" s="295"/>
    </row>
    <row r="4" spans="1:10">
      <c r="A4" s="285"/>
      <c r="B4" s="295"/>
    </row>
    <row r="5" spans="1:10" ht="39" customHeight="1">
      <c r="A5" s="285"/>
      <c r="B5" s="295"/>
      <c r="C5" s="286"/>
    </row>
    <row r="6" spans="1:10">
      <c r="A6" s="285"/>
      <c r="B6" s="295"/>
      <c r="F6" s="287"/>
      <c r="H6" s="288"/>
      <c r="I6" s="288"/>
      <c r="J6" s="288"/>
    </row>
    <row r="7" spans="1:10">
      <c r="A7" s="285"/>
      <c r="B7" s="295"/>
      <c r="C7" s="286"/>
    </row>
    <row r="8" spans="1:10">
      <c r="A8" s="285"/>
      <c r="B8" s="297"/>
      <c r="H8" s="289"/>
      <c r="I8" s="289"/>
      <c r="J8" s="289"/>
    </row>
    <row r="9" spans="1:10">
      <c r="A9" s="285"/>
      <c r="B9" s="295"/>
      <c r="H9" s="289"/>
      <c r="I9" s="289"/>
      <c r="J9" s="289"/>
    </row>
    <row r="10" spans="1:10">
      <c r="A10" s="285"/>
      <c r="B10" s="297"/>
      <c r="H10" s="289"/>
      <c r="I10" s="289"/>
      <c r="J10" s="289"/>
    </row>
    <row r="11" spans="1:10">
      <c r="A11" s="285"/>
      <c r="B11" s="295"/>
      <c r="H11" s="289"/>
      <c r="I11" s="289"/>
      <c r="J11" s="289"/>
    </row>
    <row r="12" spans="1:10">
      <c r="H12" s="289"/>
      <c r="I12" s="289"/>
      <c r="J12" s="289"/>
    </row>
    <row r="13" spans="1:10">
      <c r="H13" s="289"/>
      <c r="I13" s="289"/>
      <c r="J13" s="289"/>
    </row>
    <row r="14" spans="1:10">
      <c r="A14" s="285"/>
      <c r="F14" s="286"/>
      <c r="H14" s="289"/>
      <c r="I14" s="289"/>
      <c r="J14" s="289"/>
    </row>
    <row r="15" spans="1:10">
      <c r="A15" s="285"/>
      <c r="E15" s="288"/>
      <c r="F15" s="288"/>
      <c r="G15" s="288"/>
      <c r="H15" s="289"/>
      <c r="I15" s="289"/>
      <c r="J15" s="289"/>
    </row>
    <row r="16" spans="1:10">
      <c r="A16" s="285"/>
      <c r="E16" s="288"/>
      <c r="F16" s="288"/>
      <c r="G16" s="288"/>
      <c r="H16" s="289"/>
      <c r="I16" s="289"/>
    </row>
    <row r="17" spans="1:10" s="290" customFormat="1">
      <c r="A17" s="334"/>
      <c r="B17" s="287"/>
      <c r="F17" s="287"/>
      <c r="H17" s="287"/>
      <c r="J17" s="287"/>
    </row>
    <row r="18" spans="1:10">
      <c r="A18" s="285"/>
    </row>
    <row r="19" spans="1:10">
      <c r="A19" s="285"/>
      <c r="H19" s="291"/>
      <c r="I19" s="292"/>
      <c r="J19" s="291"/>
    </row>
    <row r="20" spans="1:10">
      <c r="A20" s="285"/>
      <c r="H20" s="291"/>
      <c r="I20" s="292"/>
      <c r="J20" s="291"/>
    </row>
    <row r="21" spans="1:10">
      <c r="A21" s="285"/>
      <c r="H21" s="291"/>
      <c r="I21" s="292"/>
      <c r="J21" s="291"/>
    </row>
    <row r="22" spans="1:10">
      <c r="A22" s="285"/>
      <c r="H22" s="291"/>
      <c r="I22" s="292"/>
      <c r="J22" s="291"/>
    </row>
    <row r="23" spans="1:10">
      <c r="A23" s="285"/>
      <c r="H23" s="291"/>
      <c r="I23" s="292"/>
      <c r="J23" s="291"/>
    </row>
    <row r="24" spans="1:10">
      <c r="A24" s="285"/>
      <c r="H24" s="291"/>
      <c r="I24" s="292"/>
      <c r="J24" s="291"/>
    </row>
    <row r="25" spans="1:10">
      <c r="A25" s="285"/>
      <c r="H25" s="291"/>
      <c r="I25" s="292"/>
      <c r="J25" s="291"/>
    </row>
    <row r="26" spans="1:10">
      <c r="A26" s="285"/>
      <c r="H26" s="291"/>
      <c r="I26" s="292"/>
      <c r="J26" s="291"/>
    </row>
    <row r="27" spans="1:10">
      <c r="A27" s="285"/>
      <c r="H27" s="291"/>
      <c r="I27" s="292"/>
      <c r="J27" s="291"/>
    </row>
    <row r="28" spans="1:10">
      <c r="A28" s="285"/>
      <c r="H28" s="291"/>
      <c r="I28" s="292"/>
      <c r="J28" s="291"/>
    </row>
    <row r="29" spans="1:10">
      <c r="H29" s="291"/>
      <c r="I29" s="292"/>
      <c r="J29" s="291"/>
    </row>
    <row r="30" spans="1:10">
      <c r="H30" s="291"/>
      <c r="I30" s="292"/>
      <c r="J30" s="291"/>
    </row>
    <row r="31" spans="1:10">
      <c r="H31" s="291"/>
      <c r="I31" s="292"/>
      <c r="J31" s="291"/>
    </row>
    <row r="32" spans="1:10">
      <c r="I32" s="292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workbookViewId="0">
      <selection activeCell="A4" sqref="A4"/>
    </sheetView>
  </sheetViews>
  <sheetFormatPr defaultRowHeight="12.75"/>
  <cols>
    <col min="1" max="1" width="16.42578125" bestFit="1" customWidth="1"/>
    <col min="2" max="2" width="25" customWidth="1"/>
    <col min="3" max="3" width="6" bestFit="1" customWidth="1"/>
    <col min="4" max="4" width="10.5703125" customWidth="1"/>
    <col min="5" max="5" width="15.7109375" customWidth="1"/>
    <col min="6" max="6" width="15.42578125" customWidth="1"/>
    <col min="7" max="7" width="11.42578125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2" width="9" bestFit="1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69"/>
      <c r="S1" s="69"/>
      <c r="T1" s="45"/>
      <c r="U1" s="1"/>
      <c r="V1" s="1"/>
      <c r="W1" s="1"/>
      <c r="X1" s="1"/>
      <c r="Y1" s="1" t="s">
        <v>3</v>
      </c>
      <c r="Z1" s="1" t="s">
        <v>4</v>
      </c>
      <c r="AA1" s="2" t="s">
        <v>5</v>
      </c>
    </row>
    <row r="2" spans="1:27">
      <c r="A2" s="19" t="s">
        <v>15</v>
      </c>
      <c r="B2" s="29" t="s">
        <v>121</v>
      </c>
      <c r="C2" s="18">
        <v>10</v>
      </c>
      <c r="D2" s="6">
        <v>3</v>
      </c>
      <c r="E2" s="7">
        <f t="shared" ref="E2:E20" si="0">C2*D2</f>
        <v>30</v>
      </c>
      <c r="F2" s="7">
        <f>E2*1.23</f>
        <v>36.9</v>
      </c>
      <c r="G2" s="7">
        <f>F2-E2</f>
        <v>6.8999999999999986</v>
      </c>
      <c r="H2" s="3"/>
      <c r="I2" s="1"/>
      <c r="J2" s="1"/>
      <c r="K2" s="1"/>
      <c r="L2" s="1"/>
      <c r="M2" s="1"/>
      <c r="N2" s="1"/>
      <c r="O2" s="1"/>
      <c r="P2" s="1"/>
      <c r="Q2" s="1"/>
      <c r="R2" s="70"/>
      <c r="S2" s="69" t="s">
        <v>109</v>
      </c>
      <c r="T2" s="47"/>
      <c r="U2" s="1"/>
      <c r="V2" s="1"/>
      <c r="W2" s="14" t="s">
        <v>100</v>
      </c>
      <c r="X2" s="1"/>
      <c r="Y2" s="3">
        <f>K44</f>
        <v>6495.9500000000007</v>
      </c>
      <c r="Z2" s="3">
        <f>W12</f>
        <v>10128.99</v>
      </c>
      <c r="AA2" s="4">
        <f>(Z2-Y2)*0.19</f>
        <v>690.27759999999978</v>
      </c>
    </row>
    <row r="3" spans="1:27">
      <c r="A3" t="s">
        <v>132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141</v>
      </c>
      <c r="M3" s="16" t="s">
        <v>136</v>
      </c>
      <c r="N3" s="16" t="s">
        <v>17</v>
      </c>
      <c r="O3" s="16" t="s">
        <v>46</v>
      </c>
      <c r="P3" s="16" t="s">
        <v>62</v>
      </c>
      <c r="Q3" s="20" t="s">
        <v>27</v>
      </c>
      <c r="R3" s="16" t="s">
        <v>86</v>
      </c>
      <c r="S3" s="46" t="s">
        <v>19</v>
      </c>
      <c r="T3" s="46" t="s">
        <v>94</v>
      </c>
      <c r="U3" s="17" t="s">
        <v>28</v>
      </c>
      <c r="V3" s="17" t="s">
        <v>37</v>
      </c>
      <c r="W3" s="59">
        <v>1</v>
      </c>
      <c r="X3" s="8"/>
      <c r="Y3" s="1" t="s">
        <v>6</v>
      </c>
      <c r="Z3" s="1" t="s">
        <v>7</v>
      </c>
      <c r="AA3" s="1" t="s">
        <v>12</v>
      </c>
    </row>
    <row r="4" spans="1:27">
      <c r="A4" s="19" t="s">
        <v>133</v>
      </c>
      <c r="B4" s="29" t="s">
        <v>125</v>
      </c>
      <c r="C4" s="18">
        <v>1625</v>
      </c>
      <c r="D4" s="6">
        <v>1</v>
      </c>
      <c r="E4" s="7">
        <f t="shared" si="0"/>
        <v>1625</v>
      </c>
      <c r="F4" s="7">
        <f>E4*1.23</f>
        <v>1998.75</v>
      </c>
      <c r="G4" s="7">
        <f>F4-E4</f>
        <v>373.75</v>
      </c>
      <c r="H4" s="3"/>
      <c r="I4" s="5" t="s">
        <v>118</v>
      </c>
      <c r="J4" s="6">
        <v>2</v>
      </c>
      <c r="K4" s="7">
        <f>SUM(C2,C3)</f>
        <v>10.25</v>
      </c>
      <c r="L4" s="7">
        <f>SUM(C4,C9)</f>
        <v>1908.92</v>
      </c>
      <c r="M4" s="7">
        <f>SUM(C7,C8)</f>
        <v>20.25</v>
      </c>
      <c r="N4" s="7">
        <f>SUM(C14*J4)</f>
        <v>30</v>
      </c>
      <c r="O4" s="7">
        <f>SUM(C13*0.33)</f>
        <v>9.5997000000000003</v>
      </c>
      <c r="P4" s="7">
        <f>O30</f>
        <v>173.06000000000003</v>
      </c>
      <c r="Q4" s="7"/>
      <c r="R4" s="7">
        <f>SUM(K4:Q4)</f>
        <v>2152.0797000000002</v>
      </c>
      <c r="S4" s="91">
        <v>3260.67</v>
      </c>
      <c r="T4" s="9">
        <v>609</v>
      </c>
      <c r="U4" s="27">
        <f>(S4-R4)/S4</f>
        <v>0.33998849929615688</v>
      </c>
      <c r="V4" s="27">
        <f>((S4-R4)/R4)</f>
        <v>0.51512511362845892</v>
      </c>
      <c r="W4" s="7">
        <f>S4*$W$3</f>
        <v>3260.67</v>
      </c>
      <c r="X4" s="8"/>
      <c r="Y4" s="3">
        <f>L44</f>
        <v>7990.0185000000001</v>
      </c>
      <c r="Z4" s="3">
        <f>Z2*1.23</f>
        <v>12458.6577</v>
      </c>
      <c r="AA4" s="3">
        <f>Z4-Z2</f>
        <v>2329.6677</v>
      </c>
    </row>
    <row r="5" spans="1:27">
      <c r="A5" s="19" t="s">
        <v>134</v>
      </c>
      <c r="B5" s="29" t="s">
        <v>125</v>
      </c>
      <c r="C5" s="18">
        <v>1950</v>
      </c>
      <c r="D5" s="6">
        <v>1</v>
      </c>
      <c r="E5" s="7">
        <f t="shared" si="0"/>
        <v>1950</v>
      </c>
      <c r="F5" s="7">
        <f t="shared" ref="F5:F20" si="1">E5*1.23</f>
        <v>2398.5</v>
      </c>
      <c r="G5" s="7">
        <f t="shared" ref="G5:G20" si="2">F5-E5</f>
        <v>448.5</v>
      </c>
      <c r="H5" s="3"/>
      <c r="I5" s="5" t="s">
        <v>119</v>
      </c>
      <c r="J5" s="6">
        <v>2</v>
      </c>
      <c r="K5" s="7">
        <f>SUM(C2,C3)</f>
        <v>10.25</v>
      </c>
      <c r="L5" s="7">
        <f t="shared" ref="L5:L6" si="3">SUM(C5,C10)</f>
        <v>2351.31</v>
      </c>
      <c r="M5" s="7">
        <f>SUM(C7,C8)</f>
        <v>20.25</v>
      </c>
      <c r="N5" s="7">
        <f>SUM(C14*J4)</f>
        <v>30</v>
      </c>
      <c r="O5" s="7">
        <f>SUM(C13*0.33)</f>
        <v>9.5997000000000003</v>
      </c>
      <c r="P5" s="7">
        <f>O30</f>
        <v>173.06000000000003</v>
      </c>
      <c r="Q5" s="7"/>
      <c r="R5" s="7">
        <f>SUM(K5:Q5)</f>
        <v>2594.4697000000001</v>
      </c>
      <c r="S5" s="91">
        <v>3775.55</v>
      </c>
      <c r="T5" s="9">
        <v>701</v>
      </c>
      <c r="U5" s="27">
        <f>(S5-R5)/S5</f>
        <v>0.31282337672656962</v>
      </c>
      <c r="V5" s="27">
        <f>((S5-R5)/R5)</f>
        <v>0.45522994544896789</v>
      </c>
      <c r="W5" s="7">
        <f>S5*$W$3</f>
        <v>3775.55</v>
      </c>
      <c r="X5" s="8"/>
      <c r="Y5" s="1" t="s">
        <v>11</v>
      </c>
      <c r="Z5" s="1" t="s">
        <v>12</v>
      </c>
      <c r="AA5" s="2" t="s">
        <v>32</v>
      </c>
    </row>
    <row r="6" spans="1:27">
      <c r="A6" s="19" t="s">
        <v>135</v>
      </c>
      <c r="B6" s="29" t="s">
        <v>125</v>
      </c>
      <c r="C6" s="18">
        <v>1100</v>
      </c>
      <c r="D6" s="6">
        <v>1</v>
      </c>
      <c r="E6" s="7">
        <f t="shared" si="0"/>
        <v>1100</v>
      </c>
      <c r="F6" s="7">
        <f t="shared" si="1"/>
        <v>1353</v>
      </c>
      <c r="G6" s="7">
        <f t="shared" si="2"/>
        <v>253</v>
      </c>
      <c r="H6" s="3"/>
      <c r="I6" s="5" t="s">
        <v>120</v>
      </c>
      <c r="J6" s="6">
        <v>2</v>
      </c>
      <c r="K6" s="7">
        <f>SUM(C2,C3)</f>
        <v>10.25</v>
      </c>
      <c r="L6" s="7">
        <f t="shared" si="3"/>
        <v>1277.45</v>
      </c>
      <c r="M6" s="7">
        <f>SUM(C7,C8)</f>
        <v>20.25</v>
      </c>
      <c r="N6" s="7">
        <f>SUM(C14*J4)</f>
        <v>30</v>
      </c>
      <c r="O6" s="7">
        <f>SUM(C13*0.33)</f>
        <v>9.5997000000000003</v>
      </c>
      <c r="P6" s="7">
        <f>O30</f>
        <v>173.06000000000003</v>
      </c>
      <c r="Q6" s="7"/>
      <c r="R6" s="7">
        <f>SUM(K6:Q6)</f>
        <v>1520.6097</v>
      </c>
      <c r="S6" s="91">
        <v>3092.77</v>
      </c>
      <c r="T6" s="9">
        <v>579</v>
      </c>
      <c r="U6" s="27">
        <f>(S6-R6)/S6</f>
        <v>0.50833405005868526</v>
      </c>
      <c r="V6" s="27">
        <f>((S6-R6)/R6)</f>
        <v>1.0339012699971597</v>
      </c>
      <c r="W6" s="7">
        <f>S6*$W$3</f>
        <v>3092.77</v>
      </c>
      <c r="X6" s="8"/>
      <c r="Y6" s="3">
        <f>N44</f>
        <v>1494.0684999999999</v>
      </c>
      <c r="Z6" s="3">
        <f>AA4</f>
        <v>2329.6677</v>
      </c>
      <c r="AA6" s="4">
        <f>Z6-Y6</f>
        <v>835.59920000000011</v>
      </c>
    </row>
    <row r="7" spans="1:27">
      <c r="A7" s="19" t="s">
        <v>136</v>
      </c>
      <c r="B7" s="29" t="s">
        <v>121</v>
      </c>
      <c r="C7" s="18">
        <v>20</v>
      </c>
      <c r="D7" s="6">
        <v>3</v>
      </c>
      <c r="E7" s="7">
        <f t="shared" si="0"/>
        <v>60</v>
      </c>
      <c r="F7" s="7">
        <f>E7*1.23</f>
        <v>73.8</v>
      </c>
      <c r="G7" s="7">
        <f>F7-E7</f>
        <v>13.799999999999997</v>
      </c>
      <c r="H7" s="3"/>
      <c r="I7" s="5"/>
      <c r="J7" s="6"/>
      <c r="K7" s="5"/>
      <c r="L7" s="6"/>
      <c r="M7" s="6"/>
      <c r="N7" s="7"/>
      <c r="O7" s="7"/>
      <c r="P7" s="7"/>
      <c r="Q7" s="7"/>
      <c r="R7" s="7"/>
      <c r="S7" s="9"/>
      <c r="T7" s="9">
        <f>(S7/T15)</f>
        <v>0</v>
      </c>
      <c r="U7" s="27"/>
      <c r="V7" s="27"/>
      <c r="W7" s="7"/>
      <c r="X7" s="8"/>
      <c r="Y7" s="1"/>
      <c r="Z7" s="1"/>
      <c r="AA7" s="1"/>
    </row>
    <row r="8" spans="1:27">
      <c r="A8" t="s">
        <v>137</v>
      </c>
      <c r="B8" s="30" t="s">
        <v>122</v>
      </c>
      <c r="C8" s="21">
        <v>0.25</v>
      </c>
      <c r="D8" s="31">
        <v>100</v>
      </c>
      <c r="E8" s="32">
        <f t="shared" si="0"/>
        <v>25</v>
      </c>
      <c r="F8" s="32">
        <f>E8*1.23</f>
        <v>30.75</v>
      </c>
      <c r="G8" s="32">
        <f>F8-E8</f>
        <v>5.75</v>
      </c>
      <c r="H8" s="3"/>
      <c r="I8" s="5"/>
      <c r="J8" s="6"/>
      <c r="K8" s="6"/>
      <c r="L8" s="6"/>
      <c r="M8" s="6"/>
      <c r="N8" s="7"/>
      <c r="O8" s="7"/>
      <c r="P8" s="7"/>
      <c r="Q8" s="6"/>
      <c r="R8" s="7"/>
      <c r="S8" s="7"/>
      <c r="T8" s="9">
        <f>(S8/T15)</f>
        <v>0</v>
      </c>
      <c r="U8" s="27"/>
      <c r="V8" s="27"/>
      <c r="W8" s="7"/>
      <c r="X8" s="1"/>
      <c r="Y8" s="1"/>
      <c r="Z8" s="1" t="s">
        <v>20</v>
      </c>
      <c r="AA8" s="2" t="s">
        <v>13</v>
      </c>
    </row>
    <row r="9" spans="1:27" ht="15.75" thickBot="1">
      <c r="A9" s="19" t="s">
        <v>138</v>
      </c>
      <c r="B9" s="30"/>
      <c r="C9" s="18">
        <v>283.92</v>
      </c>
      <c r="D9" s="6">
        <v>1</v>
      </c>
      <c r="E9" s="7">
        <f t="shared" si="0"/>
        <v>283.92</v>
      </c>
      <c r="F9" s="7">
        <f t="shared" si="1"/>
        <v>349.22160000000002</v>
      </c>
      <c r="G9" s="7">
        <f t="shared" si="2"/>
        <v>65.301600000000008</v>
      </c>
      <c r="H9" s="3"/>
      <c r="I9" s="5"/>
      <c r="J9" s="6"/>
      <c r="K9" s="6"/>
      <c r="L9" s="6"/>
      <c r="M9" s="6"/>
      <c r="N9" s="7"/>
      <c r="O9" s="7"/>
      <c r="P9" s="7"/>
      <c r="Q9" s="22"/>
      <c r="R9" s="7"/>
      <c r="S9" s="9"/>
      <c r="T9" s="9">
        <f>(S9/T15)</f>
        <v>0</v>
      </c>
      <c r="U9" s="27"/>
      <c r="V9" s="27"/>
      <c r="W9" s="7"/>
      <c r="Y9" s="1"/>
      <c r="Z9" s="3">
        <f>Z4-Y4</f>
        <v>4468.6391999999996</v>
      </c>
      <c r="AA9" s="63">
        <f>AA2+AA6</f>
        <v>1525.8768</v>
      </c>
    </row>
    <row r="10" spans="1:27" ht="13.5" thickTop="1">
      <c r="A10" s="19" t="s">
        <v>139</v>
      </c>
      <c r="B10" s="30"/>
      <c r="C10" s="18">
        <v>401.31</v>
      </c>
      <c r="D10" s="6">
        <v>1</v>
      </c>
      <c r="E10" s="7">
        <f t="shared" si="0"/>
        <v>401.31</v>
      </c>
      <c r="F10" s="7">
        <f t="shared" si="1"/>
        <v>493.61129999999997</v>
      </c>
      <c r="G10" s="7">
        <f t="shared" si="2"/>
        <v>92.301299999999969</v>
      </c>
      <c r="H10" s="3"/>
      <c r="I10" s="5"/>
      <c r="J10" s="18"/>
      <c r="K10" s="18"/>
      <c r="L10" s="18"/>
      <c r="M10" s="18"/>
      <c r="N10" s="7"/>
      <c r="O10" s="7"/>
      <c r="P10" s="7"/>
      <c r="Q10" s="23"/>
      <c r="R10" s="7"/>
      <c r="S10" s="9"/>
      <c r="T10" s="9">
        <f>(S10/T15)</f>
        <v>0</v>
      </c>
      <c r="U10" s="27"/>
      <c r="V10" s="27"/>
      <c r="W10" s="7"/>
      <c r="X10" s="1"/>
      <c r="Y10" s="1"/>
      <c r="Z10" s="1"/>
      <c r="AA10" s="1"/>
    </row>
    <row r="11" spans="1:27">
      <c r="A11" s="19" t="s">
        <v>140</v>
      </c>
      <c r="B11" s="30"/>
      <c r="C11" s="18">
        <v>177.45</v>
      </c>
      <c r="D11" s="18">
        <v>1</v>
      </c>
      <c r="E11" s="7">
        <f t="shared" si="0"/>
        <v>177.45</v>
      </c>
      <c r="F11" s="7">
        <f t="shared" si="1"/>
        <v>218.26349999999999</v>
      </c>
      <c r="G11" s="7">
        <f t="shared" si="2"/>
        <v>40.813500000000005</v>
      </c>
      <c r="H11" s="3"/>
      <c r="I11" s="24"/>
      <c r="J11" s="18"/>
      <c r="K11" s="18"/>
      <c r="L11" s="18"/>
      <c r="M11" s="18"/>
      <c r="N11" s="7"/>
      <c r="O11" s="7"/>
      <c r="P11" s="7"/>
      <c r="Q11" s="25"/>
      <c r="R11" s="6"/>
      <c r="S11" s="9"/>
      <c r="T11" s="9">
        <f>(S11/T15)</f>
        <v>0</v>
      </c>
      <c r="U11" s="27"/>
      <c r="V11" s="27"/>
      <c r="W11" s="6"/>
      <c r="X11" s="1"/>
      <c r="Y11" s="1"/>
      <c r="Z11" s="82" t="s">
        <v>14</v>
      </c>
      <c r="AA11" s="52" t="s">
        <v>131</v>
      </c>
    </row>
    <row r="12" spans="1:27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Q12" s="10"/>
      <c r="R12" s="14" t="s">
        <v>29</v>
      </c>
      <c r="S12" s="15">
        <v>2.15</v>
      </c>
      <c r="T12" s="48"/>
      <c r="V12" s="1" t="s">
        <v>96</v>
      </c>
      <c r="W12" s="72">
        <f>SUM(W4:W11)</f>
        <v>10128.99</v>
      </c>
      <c r="X12" s="1"/>
      <c r="Y12" s="1"/>
      <c r="Z12" s="83">
        <f>Z9-AA9</f>
        <v>2942.7623999999996</v>
      </c>
      <c r="AA12" s="84">
        <f>(Z12/3)</f>
        <v>980.92079999999987</v>
      </c>
    </row>
    <row r="13" spans="1:27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Q13" s="10"/>
      <c r="S13" s="26"/>
      <c r="T13" s="26"/>
      <c r="X13" s="1"/>
      <c r="Y13" s="50" t="s">
        <v>95</v>
      </c>
      <c r="Z13" s="51">
        <f>Z12*0.05</f>
        <v>147.13811999999999</v>
      </c>
      <c r="AA13" s="1"/>
    </row>
    <row r="14" spans="1:27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/>
      <c r="N15" s="62" t="s">
        <v>103</v>
      </c>
      <c r="O15" s="62" t="s">
        <v>104</v>
      </c>
      <c r="P15" s="62" t="s">
        <v>105</v>
      </c>
      <c r="Q15" s="62" t="s">
        <v>106</v>
      </c>
      <c r="R15" s="62" t="s">
        <v>107</v>
      </c>
      <c r="S15" s="66" t="s">
        <v>93</v>
      </c>
      <c r="T15" s="1">
        <v>4.55</v>
      </c>
      <c r="U15" s="1"/>
      <c r="V15" s="1"/>
      <c r="W15" s="1"/>
      <c r="X15" s="1"/>
      <c r="Y15" s="1"/>
      <c r="Z15" s="1"/>
      <c r="AA15" s="1"/>
    </row>
    <row r="16" spans="1:27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9"/>
      <c r="N16" s="18">
        <f>J16*20</f>
        <v>288000</v>
      </c>
      <c r="O16" s="9">
        <f>L16*J16</f>
        <v>240</v>
      </c>
      <c r="P16" s="9">
        <f>N16*L16</f>
        <v>4800</v>
      </c>
      <c r="Q16" s="68">
        <f>J16/3600</f>
        <v>4</v>
      </c>
      <c r="R16" s="68">
        <f>N16/3600</f>
        <v>80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9"/>
      <c r="N17" s="18">
        <f t="shared" ref="N17:N18" si="4">J17*20</f>
        <v>288000</v>
      </c>
      <c r="O17" s="9">
        <f>L17*J17</f>
        <v>240</v>
      </c>
      <c r="P17" s="9">
        <f>N17*L17</f>
        <v>4800</v>
      </c>
      <c r="Q17" s="68">
        <f t="shared" ref="Q17:Q18" si="5">J17/3600</f>
        <v>4</v>
      </c>
      <c r="R17" s="68">
        <f t="shared" ref="R17:R18" si="6">N17/3600</f>
        <v>80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si="4"/>
        <v>288000</v>
      </c>
      <c r="O18" s="9">
        <f>L18*J18</f>
        <v>240</v>
      </c>
      <c r="P18" s="9">
        <f>N18*L18</f>
        <v>4800</v>
      </c>
      <c r="Q18" s="68">
        <f t="shared" si="5"/>
        <v>4</v>
      </c>
      <c r="R18" s="68">
        <f t="shared" si="6"/>
        <v>80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18"/>
      <c r="B21" s="6" t="s">
        <v>18</v>
      </c>
      <c r="C21" s="6"/>
      <c r="D21" s="6"/>
      <c r="E21" s="7">
        <f>SUM(E2:E20)</f>
        <v>5856.77</v>
      </c>
      <c r="F21" s="7">
        <f>SUM(F2:F20)</f>
        <v>7203.8270999999995</v>
      </c>
      <c r="G21" s="7">
        <f>SUM(G2:G20)</f>
        <v>1347.0571000000002</v>
      </c>
      <c r="H21" s="1"/>
      <c r="I21" s="355" t="s">
        <v>24</v>
      </c>
      <c r="J21" s="356"/>
      <c r="K21" s="356"/>
      <c r="L21" s="357"/>
      <c r="M21" s="78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B22" s="1"/>
      <c r="C22" s="1"/>
      <c r="D22" s="1"/>
      <c r="E22" s="88" t="s">
        <v>10</v>
      </c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79"/>
      <c r="N22" s="12"/>
      <c r="O22" s="12"/>
    </row>
    <row r="23" spans="1:27">
      <c r="B23" s="1"/>
      <c r="C23" s="381" t="s">
        <v>141</v>
      </c>
      <c r="D23" s="382"/>
      <c r="E23" s="77">
        <f>(L4*0.23)</f>
        <v>439.05160000000001</v>
      </c>
      <c r="F23" s="1"/>
      <c r="G23" s="1"/>
      <c r="H23" s="1"/>
      <c r="I23" s="5" t="s">
        <v>92</v>
      </c>
      <c r="J23" s="7">
        <f>SUM(E2:E12)</f>
        <v>5677.68</v>
      </c>
      <c r="K23" s="7">
        <f t="shared" ref="K23:K30" si="7">J23*1.23</f>
        <v>6983.5464000000002</v>
      </c>
      <c r="L23" s="7">
        <f t="shared" ref="L23:L30" si="8">K23-J23</f>
        <v>1305.8663999999999</v>
      </c>
      <c r="M23" s="13"/>
      <c r="N23" s="13"/>
      <c r="O23" s="13"/>
    </row>
    <row r="24" spans="1:27">
      <c r="C24" s="381" t="s">
        <v>141</v>
      </c>
      <c r="D24" s="382"/>
      <c r="E24" s="77">
        <f>(L5*0.23)</f>
        <v>540.80129999999997</v>
      </c>
      <c r="F24" s="1"/>
      <c r="G24" s="1"/>
      <c r="H24" s="1"/>
      <c r="I24" s="5" t="s">
        <v>129</v>
      </c>
      <c r="J24" s="7">
        <f>SUM(E13:E15)</f>
        <v>179.09</v>
      </c>
      <c r="K24" s="7">
        <f t="shared" si="7"/>
        <v>220.2807</v>
      </c>
      <c r="L24" s="7">
        <f>K24-J24</f>
        <v>41.190699999999993</v>
      </c>
      <c r="M24" s="13"/>
      <c r="N24" s="8"/>
      <c r="O24" s="8"/>
    </row>
    <row r="25" spans="1:27">
      <c r="A25" s="33"/>
      <c r="B25" s="33"/>
      <c r="C25" s="381" t="s">
        <v>141</v>
      </c>
      <c r="D25" s="382"/>
      <c r="E25" s="77">
        <f>(L6*0.23)</f>
        <v>293.81350000000003</v>
      </c>
      <c r="F25" s="1"/>
      <c r="G25" s="1"/>
      <c r="H25" s="1"/>
      <c r="I25" s="6" t="s">
        <v>47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13"/>
      <c r="N25" s="8"/>
      <c r="O25" s="8"/>
    </row>
    <row r="26" spans="1:27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13"/>
      <c r="N26" s="8"/>
      <c r="O26" s="8"/>
    </row>
    <row r="27" spans="1:27">
      <c r="A27" s="33"/>
      <c r="B27" s="33"/>
      <c r="C27" s="33"/>
      <c r="D27" s="1"/>
      <c r="E27" s="1"/>
      <c r="F27" s="1"/>
      <c r="G27" s="77" t="s">
        <v>143</v>
      </c>
      <c r="H27" s="1"/>
      <c r="I27" s="6" t="s">
        <v>88</v>
      </c>
      <c r="J27" s="7">
        <v>120</v>
      </c>
      <c r="K27" s="7">
        <f>J27*1.23</f>
        <v>147.6</v>
      </c>
      <c r="L27" s="7">
        <f t="shared" si="8"/>
        <v>27.599999999999994</v>
      </c>
      <c r="M27" s="13"/>
      <c r="N27" s="8"/>
      <c r="O27" s="8"/>
    </row>
    <row r="28" spans="1:27">
      <c r="A28" s="33"/>
      <c r="B28" s="8"/>
      <c r="C28" s="8"/>
      <c r="D28" s="1"/>
      <c r="E28" s="86">
        <f>SUM(S4*1.23)</f>
        <v>4010.6241</v>
      </c>
      <c r="F28" s="1">
        <v>147.6</v>
      </c>
      <c r="G28" s="87">
        <f>SUM(E28-F28)</f>
        <v>3863.0241000000001</v>
      </c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13"/>
      <c r="N28" s="53" t="s">
        <v>62</v>
      </c>
      <c r="O28" s="53" t="s">
        <v>97</v>
      </c>
    </row>
    <row r="29" spans="1:27">
      <c r="A29" s="33"/>
      <c r="B29" s="8"/>
      <c r="C29" s="8"/>
      <c r="D29" s="1"/>
      <c r="E29" s="86">
        <f t="shared" ref="E29:E30" si="9">SUM(S5*1.23)</f>
        <v>4643.9265000000005</v>
      </c>
      <c r="F29" s="1">
        <v>147.6</v>
      </c>
      <c r="G29" s="87">
        <f t="shared" ref="G29:G30" si="10">SUM(E29-F29)</f>
        <v>4496.3265000000001</v>
      </c>
      <c r="H29" s="1"/>
      <c r="I29" s="5" t="s">
        <v>35</v>
      </c>
      <c r="J29" s="7">
        <v>100</v>
      </c>
      <c r="K29" s="7">
        <f t="shared" si="7"/>
        <v>123</v>
      </c>
      <c r="L29" s="7">
        <f t="shared" si="8"/>
        <v>23</v>
      </c>
      <c r="M29" s="13"/>
      <c r="N29" s="54"/>
      <c r="O29" s="54">
        <v>3</v>
      </c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33"/>
      <c r="B30" s="8"/>
      <c r="C30" s="381" t="s">
        <v>142</v>
      </c>
      <c r="D30" s="382"/>
      <c r="E30" s="86">
        <f t="shared" si="9"/>
        <v>3804.1070999999997</v>
      </c>
      <c r="F30" s="1">
        <v>147.6</v>
      </c>
      <c r="G30" s="87">
        <f t="shared" si="10"/>
        <v>3656.5070999999998</v>
      </c>
      <c r="H30" s="1"/>
      <c r="I30" s="18" t="s">
        <v>90</v>
      </c>
      <c r="J30" s="18">
        <v>36</v>
      </c>
      <c r="K30" s="18">
        <f t="shared" si="7"/>
        <v>44.28</v>
      </c>
      <c r="L30" s="18">
        <f t="shared" si="8"/>
        <v>8.2800000000000011</v>
      </c>
      <c r="M30" s="33"/>
      <c r="N30" s="55">
        <f>SUM(J25:J32)</f>
        <v>519.18000000000006</v>
      </c>
      <c r="O30" s="55">
        <f>N30/O29</f>
        <v>173.06000000000003</v>
      </c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"/>
      <c r="D31" s="77">
        <f>(L4*1.23)</f>
        <v>2347.9715999999999</v>
      </c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13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77">
        <f>(L5*1.23)</f>
        <v>2892.1113</v>
      </c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3.5" thickBot="1">
      <c r="B33" s="1"/>
      <c r="C33" s="1"/>
      <c r="D33" s="77">
        <f>(L6*1.23)</f>
        <v>1571.2635</v>
      </c>
      <c r="E33" s="1"/>
      <c r="F33" s="1"/>
      <c r="G33" s="1"/>
      <c r="H33" s="1"/>
      <c r="I33" s="35"/>
      <c r="J33" s="35"/>
      <c r="K33" s="38"/>
      <c r="L33" s="38"/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80"/>
      <c r="N34" s="58" t="s">
        <v>10</v>
      </c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838.27</v>
      </c>
      <c r="L35" s="42">
        <f t="shared" ref="L35:L43" si="11">K35*1.23</f>
        <v>1031.0720999999999</v>
      </c>
      <c r="M35" s="42"/>
      <c r="N35" s="43">
        <f t="shared" ref="N35:N43" si="12">L35-K35</f>
        <v>192.80209999999988</v>
      </c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11"/>
        <v>147.6</v>
      </c>
      <c r="M36" s="9"/>
      <c r="N36" s="7">
        <f t="shared" si="12"/>
        <v>27.599999999999994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v>5537.68</v>
      </c>
      <c r="L37" s="9">
        <f t="shared" si="11"/>
        <v>6811.3464000000004</v>
      </c>
      <c r="M37" s="9"/>
      <c r="N37" s="7">
        <f t="shared" si="12"/>
        <v>1273.6664000000001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11"/>
        <v>0</v>
      </c>
      <c r="M38" s="9"/>
      <c r="N38" s="7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/>
      <c r="L39" s="9">
        <f t="shared" si="11"/>
        <v>0</v>
      </c>
      <c r="M39" s="9"/>
      <c r="N39" s="7">
        <f t="shared" si="12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11"/>
        <v>0</v>
      </c>
      <c r="M40" s="9"/>
      <c r="N40" s="7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11"/>
        <v>0</v>
      </c>
      <c r="M41" s="9"/>
      <c r="N41" s="7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11"/>
        <v>0</v>
      </c>
      <c r="M42" s="9"/>
      <c r="N42" s="7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11"/>
        <v>0</v>
      </c>
      <c r="M43" s="37"/>
      <c r="N43" s="38">
        <f t="shared" si="12"/>
        <v>0</v>
      </c>
      <c r="O43" s="12"/>
      <c r="P43" s="12"/>
      <c r="Q43" s="12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6495.9500000000007</v>
      </c>
      <c r="L44" s="76">
        <f>SUM(L35:L43)</f>
        <v>7990.0185000000001</v>
      </c>
      <c r="M44" s="81"/>
      <c r="N44" s="40">
        <f>SUM(N35:N43)</f>
        <v>1494.0684999999999</v>
      </c>
      <c r="O44" s="8"/>
      <c r="P44" s="8"/>
      <c r="Q44" s="8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>
      <c r="I45" s="1"/>
      <c r="J45" s="1"/>
      <c r="K45" s="1"/>
      <c r="L45" s="1"/>
      <c r="M45" s="1"/>
    </row>
    <row r="46" spans="2:27" ht="15">
      <c r="I46" s="6" t="s">
        <v>21</v>
      </c>
      <c r="J46" s="6" t="s">
        <v>22</v>
      </c>
      <c r="K46" s="6" t="s">
        <v>23</v>
      </c>
      <c r="L46" s="22" t="s">
        <v>10</v>
      </c>
      <c r="M46" s="12"/>
      <c r="P46" s="71" t="s">
        <v>110</v>
      </c>
      <c r="Q46" s="71" t="s">
        <v>114</v>
      </c>
      <c r="R46" s="71" t="s">
        <v>110</v>
      </c>
      <c r="S46" s="71" t="s">
        <v>114</v>
      </c>
    </row>
    <row r="47" spans="2:27">
      <c r="I47" s="6" t="s">
        <v>98</v>
      </c>
      <c r="J47" s="6"/>
      <c r="K47" s="6"/>
      <c r="L47" s="6"/>
      <c r="M47" s="8"/>
      <c r="O47" s="18" t="s">
        <v>111</v>
      </c>
      <c r="P47" s="7">
        <f>SUM(K4:P4)</f>
        <v>2152.0797000000002</v>
      </c>
      <c r="Q47" s="9">
        <f>P47*20</f>
        <v>43041.594000000005</v>
      </c>
      <c r="R47" s="9">
        <f>P47*1.23</f>
        <v>2647.058031</v>
      </c>
      <c r="S47" s="9">
        <f>Q47*1.23</f>
        <v>52941.160620000002</v>
      </c>
    </row>
    <row r="48" spans="2:27">
      <c r="I48" s="6" t="s">
        <v>24</v>
      </c>
      <c r="J48" s="7">
        <f>K44</f>
        <v>6495.9500000000007</v>
      </c>
      <c r="K48" s="7">
        <f>L44</f>
        <v>7990.0185000000001</v>
      </c>
      <c r="L48" s="7">
        <f>N44</f>
        <v>1494.0684999999999</v>
      </c>
      <c r="M48" s="13"/>
      <c r="O48" s="18" t="s">
        <v>112</v>
      </c>
      <c r="P48" s="7">
        <f>SUM(K5:P5)</f>
        <v>2594.4697000000001</v>
      </c>
      <c r="Q48" s="9">
        <f t="shared" ref="Q48" si="13">P48*20</f>
        <v>51889.394</v>
      </c>
      <c r="R48" s="9">
        <f t="shared" ref="R48:S49" si="14">P48*1.23</f>
        <v>3191.1977310000002</v>
      </c>
      <c r="S48" s="9">
        <f>Q48*1.23</f>
        <v>63823.954619999997</v>
      </c>
    </row>
    <row r="49" spans="9:19" ht="15.75" thickBot="1">
      <c r="I49" s="64" t="s">
        <v>25</v>
      </c>
      <c r="J49" s="65">
        <f>J47-J48</f>
        <v>-6495.9500000000007</v>
      </c>
      <c r="K49" s="65">
        <f>K47-K48</f>
        <v>-7990.0185000000001</v>
      </c>
      <c r="L49" s="65">
        <f>L47-L48</f>
        <v>-1494.0684999999999</v>
      </c>
      <c r="M49" s="65"/>
      <c r="O49" s="9" t="s">
        <v>113</v>
      </c>
      <c r="P49" s="38">
        <f>SUM(K6:P6)</f>
        <v>1520.6097</v>
      </c>
      <c r="Q49" s="37">
        <f>P49*20</f>
        <v>30412.194</v>
      </c>
      <c r="R49" s="37">
        <f t="shared" si="14"/>
        <v>1870.349931</v>
      </c>
      <c r="S49" s="37">
        <f t="shared" si="14"/>
        <v>37406.998619999998</v>
      </c>
    </row>
    <row r="50" spans="9:19" ht="13.5" thickBot="1">
      <c r="P50" s="73" t="s">
        <v>115</v>
      </c>
      <c r="Q50" s="75">
        <f>SUM(Q47:Q49)</f>
        <v>125343.18200000002</v>
      </c>
      <c r="R50" s="74" t="s">
        <v>116</v>
      </c>
      <c r="S50" s="75">
        <f>SUM(S47:S49)</f>
        <v>154172.11385999998</v>
      </c>
    </row>
  </sheetData>
  <mergeCells count="5">
    <mergeCell ref="I21:L21"/>
    <mergeCell ref="C23:D23"/>
    <mergeCell ref="C24:D24"/>
    <mergeCell ref="C25:D25"/>
    <mergeCell ref="C30:D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H9"/>
  <sheetViews>
    <sheetView workbookViewId="0">
      <selection activeCell="E22" sqref="E22"/>
    </sheetView>
  </sheetViews>
  <sheetFormatPr defaultRowHeight="12.75"/>
  <cols>
    <col min="5" max="5" width="16.5703125" customWidth="1"/>
    <col min="6" max="6" width="16.42578125" customWidth="1"/>
    <col min="7" max="7" width="18" customWidth="1"/>
    <col min="8" max="8" width="18.28515625" customWidth="1"/>
  </cols>
  <sheetData>
    <row r="5" spans="5:8">
      <c r="E5" s="90" t="s">
        <v>142</v>
      </c>
      <c r="G5" s="90" t="s">
        <v>144</v>
      </c>
      <c r="H5" s="90" t="s">
        <v>145</v>
      </c>
    </row>
    <row r="7" spans="5:8">
      <c r="E7" s="89">
        <v>2347.9715999999999</v>
      </c>
      <c r="G7" s="91">
        <v>3260.67</v>
      </c>
      <c r="H7" s="91">
        <f>SUM(G7*1.23)</f>
        <v>4010.6241</v>
      </c>
    </row>
    <row r="8" spans="5:8">
      <c r="E8" s="89">
        <v>2892.1113</v>
      </c>
      <c r="G8" s="91">
        <v>3775.55</v>
      </c>
      <c r="H8" s="91">
        <f t="shared" ref="H8:H9" si="0">SUM(G8*1.23)</f>
        <v>4643.9265000000005</v>
      </c>
    </row>
    <row r="9" spans="5:8">
      <c r="E9" s="89">
        <v>1571.2635</v>
      </c>
      <c r="G9" s="91">
        <v>3092.77</v>
      </c>
      <c r="H9" s="91">
        <f t="shared" si="0"/>
        <v>3804.1070999999997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topLeftCell="N1" workbookViewId="0">
      <selection activeCell="S5" sqref="S5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8.140625" customWidth="1"/>
    <col min="5" max="5" width="15.7109375" customWidth="1"/>
    <col min="6" max="6" width="15.42578125" customWidth="1"/>
    <col min="7" max="7" width="9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123</v>
      </c>
      <c r="B2" s="29" t="s">
        <v>121</v>
      </c>
      <c r="C2" s="18">
        <v>5</v>
      </c>
      <c r="D2" s="6">
        <v>4</v>
      </c>
      <c r="E2" s="7">
        <f t="shared" ref="E2:E20" si="0">C2*D2</f>
        <v>20</v>
      </c>
      <c r="F2" s="7">
        <f>E2*1.23</f>
        <v>24.6</v>
      </c>
      <c r="G2" s="7">
        <f>F2-E2</f>
        <v>4.6000000000000014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2543.27</v>
      </c>
      <c r="Y2" s="3">
        <f>V12</f>
        <v>4777.5</v>
      </c>
      <c r="Z2" s="4">
        <f>(Y2-X2)*0.19</f>
        <v>424.50369999999998</v>
      </c>
    </row>
    <row r="3" spans="1:26">
      <c r="A3" t="s">
        <v>123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1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124</v>
      </c>
      <c r="B4" s="29" t="s">
        <v>125</v>
      </c>
      <c r="C4" s="18">
        <v>600</v>
      </c>
      <c r="D4" s="6">
        <v>3</v>
      </c>
      <c r="E4" s="7">
        <f t="shared" si="0"/>
        <v>1800</v>
      </c>
      <c r="F4" s="7">
        <f>E4*1.23</f>
        <v>2214</v>
      </c>
      <c r="G4" s="7">
        <f>F4-E4</f>
        <v>414</v>
      </c>
      <c r="H4" s="3"/>
      <c r="I4" s="5" t="s">
        <v>118</v>
      </c>
      <c r="J4" s="6">
        <v>2</v>
      </c>
      <c r="K4" s="7">
        <f>SUM(C2,C3)</f>
        <v>5.25</v>
      </c>
      <c r="L4" s="7">
        <f>C4</f>
        <v>600</v>
      </c>
      <c r="M4" s="7">
        <f>SUM(C14*J4)</f>
        <v>30</v>
      </c>
      <c r="N4" s="7">
        <f>SUM(C13*0.33)</f>
        <v>9.5997000000000003</v>
      </c>
      <c r="O4" s="7">
        <f>N30</f>
        <v>173.06000000000003</v>
      </c>
      <c r="P4" s="7"/>
      <c r="Q4" s="7">
        <f>SUM(K4:P4)</f>
        <v>817.90970000000004</v>
      </c>
      <c r="R4" s="7">
        <f>(S4*S15)</f>
        <v>1592.5</v>
      </c>
      <c r="S4" s="9">
        <v>350</v>
      </c>
      <c r="T4" s="27">
        <f>(R4-Q4)/R4</f>
        <v>0.48639893249607535</v>
      </c>
      <c r="U4" s="27">
        <f>((R4-Q4)/Q4)</f>
        <v>0.94703645157894556</v>
      </c>
      <c r="V4" s="7">
        <f>R4*$V$3</f>
        <v>1592.5</v>
      </c>
      <c r="W4" s="8"/>
      <c r="X4" s="3">
        <f>L44</f>
        <v>3128.2221</v>
      </c>
      <c r="Y4" s="3">
        <f>Y2*1.23</f>
        <v>5876.3249999999998</v>
      </c>
      <c r="Z4" s="3">
        <f>Y4-Y2</f>
        <v>1098.8249999999998</v>
      </c>
    </row>
    <row r="5" spans="1:26">
      <c r="A5" s="19"/>
      <c r="B5" s="18"/>
      <c r="C5" s="18"/>
      <c r="D5" s="6"/>
      <c r="E5" s="7">
        <f t="shared" si="0"/>
        <v>0</v>
      </c>
      <c r="F5" s="7">
        <f t="shared" ref="F5:F20" si="1">E5*1.23</f>
        <v>0</v>
      </c>
      <c r="G5" s="7">
        <f t="shared" ref="G5:G20" si="2">F5-E5</f>
        <v>0</v>
      </c>
      <c r="H5" s="3"/>
      <c r="I5" s="5" t="s">
        <v>119</v>
      </c>
      <c r="J5" s="6">
        <v>2</v>
      </c>
      <c r="K5" s="7">
        <f>SUM(C2,C3)</f>
        <v>5.25</v>
      </c>
      <c r="L5" s="7">
        <f>C4</f>
        <v>600</v>
      </c>
      <c r="M5" s="7">
        <f>SUM(C14*J4)</f>
        <v>30</v>
      </c>
      <c r="N5" s="7">
        <f>SUM(C13*0.33)</f>
        <v>9.5997000000000003</v>
      </c>
      <c r="O5" s="7">
        <f>N30</f>
        <v>173.06000000000003</v>
      </c>
      <c r="P5" s="7"/>
      <c r="Q5" s="7">
        <f>SUM(K5:P5)</f>
        <v>817.90970000000004</v>
      </c>
      <c r="R5" s="7">
        <f>(S5*S15)</f>
        <v>1592.5</v>
      </c>
      <c r="S5" s="9">
        <v>350</v>
      </c>
      <c r="T5" s="27">
        <f>(R5-Q5)/R5</f>
        <v>0.48639893249607535</v>
      </c>
      <c r="U5" s="27">
        <f>((R5-Q5)/Q5)</f>
        <v>0.94703645157894556</v>
      </c>
      <c r="V5" s="7">
        <f>R5*$V$3</f>
        <v>1592.5</v>
      </c>
      <c r="W5" s="8"/>
      <c r="X5" s="1" t="s">
        <v>11</v>
      </c>
      <c r="Y5" s="1" t="s">
        <v>12</v>
      </c>
      <c r="Z5" s="2" t="s">
        <v>32</v>
      </c>
    </row>
    <row r="6" spans="1:26">
      <c r="A6" s="29"/>
      <c r="B6" s="18"/>
      <c r="C6" s="18"/>
      <c r="D6" s="6"/>
      <c r="E6" s="7">
        <f t="shared" si="0"/>
        <v>0</v>
      </c>
      <c r="F6" s="7">
        <f t="shared" si="1"/>
        <v>0</v>
      </c>
      <c r="G6" s="7">
        <f t="shared" si="2"/>
        <v>0</v>
      </c>
      <c r="H6" s="3"/>
      <c r="I6" s="5" t="s">
        <v>120</v>
      </c>
      <c r="J6" s="6">
        <v>2</v>
      </c>
      <c r="K6" s="7">
        <f>SUM(C2,C3)</f>
        <v>5.25</v>
      </c>
      <c r="L6" s="7">
        <f>C4</f>
        <v>600</v>
      </c>
      <c r="M6" s="7">
        <f>SUM(C14*J4)</f>
        <v>30</v>
      </c>
      <c r="N6" s="7">
        <f>SUM(C13*0.33)</f>
        <v>9.5997000000000003</v>
      </c>
      <c r="O6" s="7">
        <f>N30</f>
        <v>173.06000000000003</v>
      </c>
      <c r="P6" s="7"/>
      <c r="Q6" s="7">
        <f>SUM(K6:P6)</f>
        <v>817.90970000000004</v>
      </c>
      <c r="R6" s="7">
        <f>(S6*S15)</f>
        <v>1592.5</v>
      </c>
      <c r="S6" s="9">
        <v>350</v>
      </c>
      <c r="T6" s="27">
        <f>(R6-Q6)/R6</f>
        <v>0.48639893249607535</v>
      </c>
      <c r="U6" s="27">
        <f>((R6-Q6)/Q6)</f>
        <v>0.94703645157894556</v>
      </c>
      <c r="V6" s="7">
        <f>R6*$V$3</f>
        <v>1592.5</v>
      </c>
      <c r="W6" s="8"/>
      <c r="X6" s="3">
        <f>M44</f>
        <v>584.95209999999997</v>
      </c>
      <c r="Y6" s="3">
        <f>Z4</f>
        <v>1098.8249999999998</v>
      </c>
      <c r="Z6" s="4">
        <f>Y6-X6</f>
        <v>513.87289999999985</v>
      </c>
    </row>
    <row r="7" spans="1:26">
      <c r="A7" s="19"/>
      <c r="B7" s="23"/>
      <c r="C7" s="18"/>
      <c r="D7" s="18"/>
      <c r="E7" s="7">
        <f t="shared" si="0"/>
        <v>0</v>
      </c>
      <c r="F7" s="7">
        <f t="shared" si="1"/>
        <v>0</v>
      </c>
      <c r="G7" s="7">
        <f t="shared" si="2"/>
        <v>0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/>
      <c r="B8" s="23"/>
      <c r="C8" s="18"/>
      <c r="D8" s="18"/>
      <c r="E8" s="7">
        <f t="shared" si="0"/>
        <v>0</v>
      </c>
      <c r="F8" s="7">
        <f t="shared" si="1"/>
        <v>0</v>
      </c>
      <c r="G8" s="7">
        <f t="shared" si="2"/>
        <v>0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/>
      <c r="B9" s="30"/>
      <c r="C9" s="18"/>
      <c r="D9" s="6"/>
      <c r="E9" s="7">
        <f t="shared" si="0"/>
        <v>0</v>
      </c>
      <c r="F9" s="7">
        <f t="shared" si="1"/>
        <v>0</v>
      </c>
      <c r="G9" s="7">
        <f t="shared" si="2"/>
        <v>0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2748.1028999999999</v>
      </c>
      <c r="Z9" s="63">
        <f>Z2+Z6</f>
        <v>938.37659999999983</v>
      </c>
    </row>
    <row r="10" spans="1:26" ht="13.5" thickTop="1">
      <c r="A10" s="19"/>
      <c r="B10" s="30"/>
      <c r="C10" s="18"/>
      <c r="D10" s="6"/>
      <c r="E10" s="7">
        <f t="shared" si="0"/>
        <v>0</v>
      </c>
      <c r="F10" s="7">
        <f t="shared" si="1"/>
        <v>0</v>
      </c>
      <c r="G10" s="7">
        <f t="shared" si="2"/>
        <v>0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/>
      <c r="B11" s="30"/>
      <c r="C11" s="18"/>
      <c r="D11" s="18"/>
      <c r="E11" s="7">
        <f t="shared" si="0"/>
        <v>0</v>
      </c>
      <c r="F11" s="7">
        <f t="shared" si="1"/>
        <v>0</v>
      </c>
      <c r="G11" s="7">
        <f t="shared" si="2"/>
        <v>0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52" t="s">
        <v>131</v>
      </c>
    </row>
    <row r="12" spans="1:26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4777.5</v>
      </c>
      <c r="W12" s="1"/>
      <c r="X12" s="1"/>
      <c r="Y12" s="49">
        <f>Y9-Z9</f>
        <v>1809.7263</v>
      </c>
      <c r="Z12" s="77">
        <f>(Y12/3)</f>
        <v>603.24210000000005</v>
      </c>
    </row>
    <row r="13" spans="1:26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P13" s="10"/>
      <c r="R13" s="26"/>
      <c r="S13" s="26"/>
      <c r="W13" s="1"/>
      <c r="X13" s="50" t="s">
        <v>95</v>
      </c>
      <c r="Y13" s="51">
        <f>Y12*0.05</f>
        <v>90.486315000000005</v>
      </c>
      <c r="Z13" s="1"/>
    </row>
    <row r="14" spans="1:26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3">J17*20</f>
        <v>288000</v>
      </c>
      <c r="N17" s="9">
        <f>L17*J17</f>
        <v>240</v>
      </c>
      <c r="O17" s="9">
        <f>M17*L17</f>
        <v>4800</v>
      </c>
      <c r="P17" s="68">
        <f t="shared" ref="P17:P18" si="4">J17/3600</f>
        <v>4</v>
      </c>
      <c r="Q17" s="68">
        <f t="shared" ref="Q17:Q18" si="5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18">
        <f t="shared" si="3"/>
        <v>288000</v>
      </c>
      <c r="N18" s="9">
        <f>L18*J18</f>
        <v>240</v>
      </c>
      <c r="O18" s="9">
        <f>M18*L18</f>
        <v>4800</v>
      </c>
      <c r="P18" s="68">
        <f t="shared" si="4"/>
        <v>4</v>
      </c>
      <c r="Q18" s="68">
        <f t="shared" si="5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2024.09</v>
      </c>
      <c r="F21" s="7">
        <f>SUM(F2:F20)</f>
        <v>2489.6306999999997</v>
      </c>
      <c r="G21" s="7">
        <f>SUM(G2:G20)</f>
        <v>465.54070000000002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1845</v>
      </c>
      <c r="K23" s="7">
        <f t="shared" ref="K23:K30" si="6">J23*1.23</f>
        <v>2269.35</v>
      </c>
      <c r="L23" s="7">
        <f t="shared" ref="L23:L30" si="7">K23-J23</f>
        <v>424.34999999999991</v>
      </c>
      <c r="M23" s="13"/>
      <c r="N23" s="13"/>
    </row>
    <row r="24" spans="1:26">
      <c r="D24" s="1"/>
      <c r="E24" s="1"/>
      <c r="F24" s="1"/>
      <c r="G24" s="1"/>
      <c r="H24" s="1"/>
      <c r="I24" s="5" t="s">
        <v>129</v>
      </c>
      <c r="J24" s="7">
        <f>SUM(E13:E15)</f>
        <v>179.09</v>
      </c>
      <c r="K24" s="7">
        <f t="shared" si="6"/>
        <v>220.2807</v>
      </c>
      <c r="L24" s="7">
        <f>K24-J24</f>
        <v>41.190699999999993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6"/>
        <v>10.159799999999999</v>
      </c>
      <c r="L25" s="7">
        <f t="shared" si="7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6"/>
        <v>27.183</v>
      </c>
      <c r="L26" s="7">
        <f t="shared" si="7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120</v>
      </c>
      <c r="K27" s="7">
        <f>J27*1.23</f>
        <v>147.6</v>
      </c>
      <c r="L27" s="7">
        <f t="shared" si="7"/>
        <v>27.599999999999994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6"/>
        <v>72.102599999999995</v>
      </c>
      <c r="L28" s="7">
        <f t="shared" si="7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100</v>
      </c>
      <c r="K29" s="7">
        <f t="shared" si="6"/>
        <v>123</v>
      </c>
      <c r="L29" s="7">
        <f t="shared" si="7"/>
        <v>23</v>
      </c>
      <c r="M29" s="54"/>
      <c r="N29" s="54">
        <v>3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6"/>
        <v>44.28</v>
      </c>
      <c r="L30" s="18">
        <f t="shared" si="7"/>
        <v>8.2800000000000011</v>
      </c>
      <c r="M30" s="55">
        <f>SUM(J25:J32)</f>
        <v>519.18000000000006</v>
      </c>
      <c r="N30" s="55">
        <f>M30/N29</f>
        <v>173.06000000000003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623.27</v>
      </c>
      <c r="L35" s="42">
        <f t="shared" ref="L35:L43" si="8">K35*1.23</f>
        <v>766.62209999999993</v>
      </c>
      <c r="M35" s="43">
        <f t="shared" ref="M35:M43" si="9">L35-K35</f>
        <v>143.35209999999995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8"/>
        <v>147.6</v>
      </c>
      <c r="M36" s="7">
        <f t="shared" si="9"/>
        <v>27.599999999999994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f>(E4)</f>
        <v>1800</v>
      </c>
      <c r="L37" s="9">
        <f t="shared" si="8"/>
        <v>2214</v>
      </c>
      <c r="M37" s="7">
        <f t="shared" si="9"/>
        <v>414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8"/>
        <v>0</v>
      </c>
      <c r="M38" s="7">
        <f t="shared" si="9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/>
      <c r="K39" s="9"/>
      <c r="L39" s="9">
        <f t="shared" si="8"/>
        <v>0</v>
      </c>
      <c r="M39" s="7">
        <f t="shared" si="9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8"/>
        <v>0</v>
      </c>
      <c r="M40" s="7">
        <f t="shared" si="9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8"/>
        <v>0</v>
      </c>
      <c r="M41" s="7">
        <f t="shared" si="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8"/>
        <v>0</v>
      </c>
      <c r="M42" s="7">
        <f t="shared" si="9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8"/>
        <v>0</v>
      </c>
      <c r="M43" s="38">
        <f t="shared" si="9"/>
        <v>0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2543.27</v>
      </c>
      <c r="L44" s="76">
        <f>SUM(L35:L43)</f>
        <v>3128.2221</v>
      </c>
      <c r="M44" s="40">
        <f>SUM(M35:M43)</f>
        <v>584.95209999999997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817.90970000000004</v>
      </c>
      <c r="P47" s="9">
        <f>O47*20</f>
        <v>16358.194000000001</v>
      </c>
      <c r="Q47" s="9">
        <f>O47*1.23</f>
        <v>1006.0289310000001</v>
      </c>
      <c r="R47" s="9">
        <f>P47*1.23</f>
        <v>20120.57862</v>
      </c>
    </row>
    <row r="48" spans="2:26">
      <c r="I48" s="6" t="s">
        <v>24</v>
      </c>
      <c r="J48" s="7">
        <f>K44</f>
        <v>2543.27</v>
      </c>
      <c r="K48" s="7">
        <f>L44</f>
        <v>3128.2221</v>
      </c>
      <c r="L48" s="7">
        <f>M44</f>
        <v>584.95209999999997</v>
      </c>
      <c r="N48" s="18" t="s">
        <v>112</v>
      </c>
      <c r="O48" s="7">
        <f>SUM(K5:O5)</f>
        <v>817.90970000000004</v>
      </c>
      <c r="P48" s="9">
        <f t="shared" ref="P48" si="10">O48*20</f>
        <v>16358.194000000001</v>
      </c>
      <c r="Q48" s="9">
        <f t="shared" ref="Q48:R49" si="11">O48*1.23</f>
        <v>1006.0289310000001</v>
      </c>
      <c r="R48" s="9">
        <f>P48*1.23</f>
        <v>20120.57862</v>
      </c>
    </row>
    <row r="49" spans="9:18" ht="15.75" thickBot="1">
      <c r="I49" s="64" t="s">
        <v>25</v>
      </c>
      <c r="J49" s="65">
        <f>J47-J48</f>
        <v>-2543.27</v>
      </c>
      <c r="K49" s="65">
        <f>K47-K48</f>
        <v>-3128.2221</v>
      </c>
      <c r="L49" s="65">
        <f>L47-L48</f>
        <v>-584.95209999999997</v>
      </c>
      <c r="N49" s="9" t="s">
        <v>113</v>
      </c>
      <c r="O49" s="38">
        <f>SUM(K6:O6)</f>
        <v>817.90970000000004</v>
      </c>
      <c r="P49" s="37">
        <f>O49*20</f>
        <v>16358.194000000001</v>
      </c>
      <c r="Q49" s="37">
        <f t="shared" si="11"/>
        <v>1006.0289310000001</v>
      </c>
      <c r="R49" s="37">
        <f t="shared" si="11"/>
        <v>20120.57862</v>
      </c>
    </row>
    <row r="50" spans="9:18" ht="13.5" thickBot="1">
      <c r="O50" s="73" t="s">
        <v>115</v>
      </c>
      <c r="P50" s="75">
        <f>SUM(P47:P49)</f>
        <v>49074.582000000002</v>
      </c>
      <c r="Q50" s="74" t="s">
        <v>116</v>
      </c>
      <c r="R50" s="75">
        <f>SUM(R47:R49)</f>
        <v>60361.735860000001</v>
      </c>
    </row>
  </sheetData>
  <mergeCells count="1">
    <mergeCell ref="I21:L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4" sqref="A4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8.140625" customWidth="1"/>
    <col min="5" max="5" width="15.7109375" customWidth="1"/>
    <col min="6" max="6" width="15.42578125" customWidth="1"/>
    <col min="7" max="7" width="9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123</v>
      </c>
      <c r="B2" s="29" t="s">
        <v>121</v>
      </c>
      <c r="C2" s="18">
        <v>5</v>
      </c>
      <c r="D2" s="6">
        <v>4</v>
      </c>
      <c r="E2" s="7">
        <f t="shared" ref="E2:E20" si="0">C2*D2</f>
        <v>20</v>
      </c>
      <c r="F2" s="7">
        <f>E2*1.23</f>
        <v>24.6</v>
      </c>
      <c r="G2" s="7">
        <f>F2-E2</f>
        <v>4.6000000000000014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3443.27</v>
      </c>
      <c r="Y2" s="3">
        <f>V12</f>
        <v>6142.5</v>
      </c>
      <c r="Z2" s="4">
        <f>(Y2-X2)*0.19</f>
        <v>512.8537</v>
      </c>
    </row>
    <row r="3" spans="1:26">
      <c r="A3" t="s">
        <v>123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1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124</v>
      </c>
      <c r="B4" s="29" t="s">
        <v>125</v>
      </c>
      <c r="C4" s="18">
        <v>900</v>
      </c>
      <c r="D4" s="6">
        <v>3</v>
      </c>
      <c r="E4" s="7">
        <f t="shared" si="0"/>
        <v>2700</v>
      </c>
      <c r="F4" s="7">
        <f>E4*1.23</f>
        <v>3321</v>
      </c>
      <c r="G4" s="7">
        <f>F4-E4</f>
        <v>621</v>
      </c>
      <c r="H4" s="3"/>
      <c r="I4" s="5" t="s">
        <v>118</v>
      </c>
      <c r="J4" s="6">
        <v>2</v>
      </c>
      <c r="K4" s="7">
        <f>SUM(C2,C3)</f>
        <v>5.25</v>
      </c>
      <c r="L4" s="7">
        <f>C4</f>
        <v>900</v>
      </c>
      <c r="M4" s="7">
        <f>SUM(C14*J4)</f>
        <v>30</v>
      </c>
      <c r="N4" s="7">
        <f>SUM(C13*0.33)</f>
        <v>9.5997000000000003</v>
      </c>
      <c r="O4" s="7">
        <f>N30</f>
        <v>173.06000000000003</v>
      </c>
      <c r="P4" s="7"/>
      <c r="Q4" s="7">
        <f>SUM(K4:P4)</f>
        <v>1117.9096999999999</v>
      </c>
      <c r="R4" s="7">
        <f>(S4*S15)</f>
        <v>2047.5</v>
      </c>
      <c r="S4" s="9">
        <v>450</v>
      </c>
      <c r="T4" s="27">
        <f>(R4-Q4)/R4</f>
        <v>0.45401235653235655</v>
      </c>
      <c r="U4" s="27">
        <f>((R4-Q4)/Q4)</f>
        <v>0.83154328117915077</v>
      </c>
      <c r="V4" s="7">
        <f>R4*$V$3</f>
        <v>2047.5</v>
      </c>
      <c r="W4" s="8"/>
      <c r="X4" s="3">
        <f>L44</f>
        <v>4235.2221</v>
      </c>
      <c r="Y4" s="3">
        <f>Y2*1.23</f>
        <v>7555.2749999999996</v>
      </c>
      <c r="Z4" s="3">
        <f>Y4-Y2</f>
        <v>1412.7749999999996</v>
      </c>
    </row>
    <row r="5" spans="1:26">
      <c r="A5" s="19"/>
      <c r="B5" s="18"/>
      <c r="C5" s="18"/>
      <c r="D5" s="6"/>
      <c r="E5" s="7">
        <f t="shared" si="0"/>
        <v>0</v>
      </c>
      <c r="F5" s="7">
        <f t="shared" ref="F5:F20" si="1">E5*1.23</f>
        <v>0</v>
      </c>
      <c r="G5" s="7">
        <f t="shared" ref="G5:G20" si="2">F5-E5</f>
        <v>0</v>
      </c>
      <c r="H5" s="3"/>
      <c r="I5" s="5" t="s">
        <v>119</v>
      </c>
      <c r="J5" s="6">
        <v>2</v>
      </c>
      <c r="K5" s="7">
        <f>SUM(C2,C3)</f>
        <v>5.25</v>
      </c>
      <c r="L5" s="7">
        <f>C4</f>
        <v>900</v>
      </c>
      <c r="M5" s="7">
        <f>SUM(C14*J4)</f>
        <v>30</v>
      </c>
      <c r="N5" s="7">
        <f>SUM(C13*0.33)</f>
        <v>9.5997000000000003</v>
      </c>
      <c r="O5" s="7">
        <f>N30</f>
        <v>173.06000000000003</v>
      </c>
      <c r="P5" s="7"/>
      <c r="Q5" s="7">
        <f>SUM(K5:P5)</f>
        <v>1117.9096999999999</v>
      </c>
      <c r="R5" s="7">
        <f>(S5*S15)</f>
        <v>2047.5</v>
      </c>
      <c r="S5" s="9">
        <v>450</v>
      </c>
      <c r="T5" s="27">
        <f>(R5-Q5)/R5</f>
        <v>0.45401235653235655</v>
      </c>
      <c r="U5" s="27">
        <f>((R5-Q5)/Q5)</f>
        <v>0.83154328117915077</v>
      </c>
      <c r="V5" s="7">
        <f>R5*$V$3</f>
        <v>2047.5</v>
      </c>
      <c r="W5" s="8"/>
      <c r="X5" s="1" t="s">
        <v>11</v>
      </c>
      <c r="Y5" s="1" t="s">
        <v>12</v>
      </c>
      <c r="Z5" s="2" t="s">
        <v>32</v>
      </c>
    </row>
    <row r="6" spans="1:26">
      <c r="A6" s="29"/>
      <c r="B6" s="18"/>
      <c r="C6" s="18"/>
      <c r="D6" s="6"/>
      <c r="E6" s="7">
        <f t="shared" si="0"/>
        <v>0</v>
      </c>
      <c r="F6" s="7">
        <f t="shared" si="1"/>
        <v>0</v>
      </c>
      <c r="G6" s="7">
        <f t="shared" si="2"/>
        <v>0</v>
      </c>
      <c r="H6" s="3"/>
      <c r="I6" s="5" t="s">
        <v>120</v>
      </c>
      <c r="J6" s="6">
        <v>2</v>
      </c>
      <c r="K6" s="7">
        <f>SUM(C2,C3)</f>
        <v>5.25</v>
      </c>
      <c r="L6" s="7">
        <f>C4</f>
        <v>900</v>
      </c>
      <c r="M6" s="7">
        <f>SUM(C14*J4)</f>
        <v>30</v>
      </c>
      <c r="N6" s="7">
        <f>SUM(C13*0.33)</f>
        <v>9.5997000000000003</v>
      </c>
      <c r="O6" s="7">
        <f>N30</f>
        <v>173.06000000000003</v>
      </c>
      <c r="P6" s="7"/>
      <c r="Q6" s="7">
        <f>SUM(K6:P6)</f>
        <v>1117.9096999999999</v>
      </c>
      <c r="R6" s="7">
        <f>(S6*S15)</f>
        <v>2047.5</v>
      </c>
      <c r="S6" s="9">
        <v>450</v>
      </c>
      <c r="T6" s="27">
        <f>(R6-Q6)/R6</f>
        <v>0.45401235653235655</v>
      </c>
      <c r="U6" s="27">
        <f>((R6-Q6)/Q6)</f>
        <v>0.83154328117915077</v>
      </c>
      <c r="V6" s="7">
        <f>R6*$V$3</f>
        <v>2047.5</v>
      </c>
      <c r="W6" s="8"/>
      <c r="X6" s="3">
        <f>M44</f>
        <v>791.95209999999997</v>
      </c>
      <c r="Y6" s="3">
        <f>Z4</f>
        <v>1412.7749999999996</v>
      </c>
      <c r="Z6" s="4">
        <f>Y6-X6</f>
        <v>620.82289999999966</v>
      </c>
    </row>
    <row r="7" spans="1:26">
      <c r="A7" s="19"/>
      <c r="B7" s="23"/>
      <c r="C7" s="18"/>
      <c r="D7" s="18"/>
      <c r="E7" s="7">
        <f t="shared" si="0"/>
        <v>0</v>
      </c>
      <c r="F7" s="7">
        <f t="shared" si="1"/>
        <v>0</v>
      </c>
      <c r="G7" s="7">
        <f t="shared" si="2"/>
        <v>0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/>
      <c r="B8" s="23"/>
      <c r="C8" s="18"/>
      <c r="D8" s="18"/>
      <c r="E8" s="7">
        <f t="shared" si="0"/>
        <v>0</v>
      </c>
      <c r="F8" s="7">
        <f t="shared" si="1"/>
        <v>0</v>
      </c>
      <c r="G8" s="7">
        <f t="shared" si="2"/>
        <v>0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/>
      <c r="B9" s="30"/>
      <c r="C9" s="18"/>
      <c r="D9" s="6"/>
      <c r="E9" s="7">
        <f t="shared" si="0"/>
        <v>0</v>
      </c>
      <c r="F9" s="7">
        <f t="shared" si="1"/>
        <v>0</v>
      </c>
      <c r="G9" s="7">
        <f t="shared" si="2"/>
        <v>0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3320.0528999999997</v>
      </c>
      <c r="Z9" s="63">
        <f>Z2+Z6</f>
        <v>1133.6765999999998</v>
      </c>
    </row>
    <row r="10" spans="1:26" ht="13.5" thickTop="1">
      <c r="A10" s="19"/>
      <c r="B10" s="30"/>
      <c r="C10" s="18"/>
      <c r="D10" s="6"/>
      <c r="E10" s="7">
        <f t="shared" si="0"/>
        <v>0</v>
      </c>
      <c r="F10" s="7">
        <f t="shared" si="1"/>
        <v>0</v>
      </c>
      <c r="G10" s="7">
        <f t="shared" si="2"/>
        <v>0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/>
      <c r="B11" s="30"/>
      <c r="C11" s="18"/>
      <c r="D11" s="18"/>
      <c r="E11" s="7">
        <f t="shared" si="0"/>
        <v>0</v>
      </c>
      <c r="F11" s="7">
        <f t="shared" si="1"/>
        <v>0</v>
      </c>
      <c r="G11" s="7">
        <f t="shared" si="2"/>
        <v>0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52" t="s">
        <v>131</v>
      </c>
    </row>
    <row r="12" spans="1:26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6142.5</v>
      </c>
      <c r="W12" s="1"/>
      <c r="X12" s="1"/>
      <c r="Y12" s="49">
        <f>Y9-Z9</f>
        <v>2186.3762999999999</v>
      </c>
      <c r="Z12" s="77">
        <f>(Y12/3)</f>
        <v>728.7921</v>
      </c>
    </row>
    <row r="13" spans="1:26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P13" s="10"/>
      <c r="R13" s="26"/>
      <c r="S13" s="26"/>
      <c r="W13" s="1"/>
      <c r="X13" s="50" t="s">
        <v>95</v>
      </c>
      <c r="Y13" s="51">
        <f>Y12*0.05</f>
        <v>109.318815</v>
      </c>
      <c r="Z13" s="1"/>
    </row>
    <row r="14" spans="1:26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3">J17*20</f>
        <v>288000</v>
      </c>
      <c r="N17" s="9">
        <f>L17*J17</f>
        <v>240</v>
      </c>
      <c r="O17" s="9">
        <f>M17*L17</f>
        <v>4800</v>
      </c>
      <c r="P17" s="68">
        <f t="shared" ref="P17:P18" si="4">J17/3600</f>
        <v>4</v>
      </c>
      <c r="Q17" s="68">
        <f t="shared" ref="Q17:Q18" si="5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18">
        <f t="shared" si="3"/>
        <v>288000</v>
      </c>
      <c r="N18" s="9">
        <f>L18*J18</f>
        <v>240</v>
      </c>
      <c r="O18" s="9">
        <f>M18*L18</f>
        <v>4800</v>
      </c>
      <c r="P18" s="68">
        <f t="shared" si="4"/>
        <v>4</v>
      </c>
      <c r="Q18" s="68">
        <f t="shared" si="5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2924.09</v>
      </c>
      <c r="F21" s="7">
        <f>SUM(F2:F20)</f>
        <v>3596.6306999999997</v>
      </c>
      <c r="G21" s="7">
        <f>SUM(G2:G20)</f>
        <v>672.54070000000002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2745</v>
      </c>
      <c r="K23" s="7">
        <f t="shared" ref="K23:K30" si="6">J23*1.23</f>
        <v>3376.35</v>
      </c>
      <c r="L23" s="7">
        <f t="shared" ref="L23:L30" si="7">K23-J23</f>
        <v>631.34999999999991</v>
      </c>
      <c r="M23" s="13"/>
      <c r="N23" s="13"/>
    </row>
    <row r="24" spans="1:26">
      <c r="D24" s="1"/>
      <c r="E24" s="1"/>
      <c r="F24" s="1"/>
      <c r="G24" s="1"/>
      <c r="H24" s="1"/>
      <c r="I24" s="5" t="s">
        <v>129</v>
      </c>
      <c r="J24" s="7">
        <f>SUM(E13:E15)</f>
        <v>179.09</v>
      </c>
      <c r="K24" s="7">
        <f t="shared" si="6"/>
        <v>220.2807</v>
      </c>
      <c r="L24" s="7">
        <f>K24-J24</f>
        <v>41.190699999999993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6"/>
        <v>10.159799999999999</v>
      </c>
      <c r="L25" s="7">
        <f t="shared" si="7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6"/>
        <v>27.183</v>
      </c>
      <c r="L26" s="7">
        <f t="shared" si="7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120</v>
      </c>
      <c r="K27" s="7">
        <f>J27*1.23</f>
        <v>147.6</v>
      </c>
      <c r="L27" s="7">
        <f t="shared" si="7"/>
        <v>27.599999999999994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6"/>
        <v>72.102599999999995</v>
      </c>
      <c r="L28" s="7">
        <f t="shared" si="7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100</v>
      </c>
      <c r="K29" s="7">
        <f t="shared" si="6"/>
        <v>123</v>
      </c>
      <c r="L29" s="7">
        <f t="shared" si="7"/>
        <v>23</v>
      </c>
      <c r="M29" s="54"/>
      <c r="N29" s="54">
        <v>3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6"/>
        <v>44.28</v>
      </c>
      <c r="L30" s="18">
        <f t="shared" si="7"/>
        <v>8.2800000000000011</v>
      </c>
      <c r="M30" s="55">
        <f>SUM(J25:J32)</f>
        <v>519.18000000000006</v>
      </c>
      <c r="N30" s="55">
        <f>M30/N29</f>
        <v>173.06000000000003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623.27</v>
      </c>
      <c r="L35" s="42">
        <f t="shared" ref="L35:L43" si="8">K35*1.23</f>
        <v>766.62209999999993</v>
      </c>
      <c r="M35" s="43">
        <f t="shared" ref="M35:M43" si="9">L35-K35</f>
        <v>143.35209999999995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8"/>
        <v>147.6</v>
      </c>
      <c r="M36" s="7">
        <f t="shared" si="9"/>
        <v>27.599999999999994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f>(E4)</f>
        <v>2700</v>
      </c>
      <c r="L37" s="9">
        <f t="shared" si="8"/>
        <v>3321</v>
      </c>
      <c r="M37" s="7">
        <f t="shared" si="9"/>
        <v>621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8"/>
        <v>0</v>
      </c>
      <c r="M38" s="7">
        <f t="shared" si="9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/>
      <c r="K39" s="9"/>
      <c r="L39" s="9">
        <f t="shared" si="8"/>
        <v>0</v>
      </c>
      <c r="M39" s="7">
        <f t="shared" si="9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8"/>
        <v>0</v>
      </c>
      <c r="M40" s="7">
        <f t="shared" si="9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8"/>
        <v>0</v>
      </c>
      <c r="M41" s="7">
        <f t="shared" si="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8"/>
        <v>0</v>
      </c>
      <c r="M42" s="7">
        <f t="shared" si="9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8"/>
        <v>0</v>
      </c>
      <c r="M43" s="38">
        <f t="shared" si="9"/>
        <v>0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3443.27</v>
      </c>
      <c r="L44" s="76">
        <f>SUM(L35:L43)</f>
        <v>4235.2221</v>
      </c>
      <c r="M44" s="40">
        <f>SUM(M35:M43)</f>
        <v>791.95209999999997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1117.9096999999999</v>
      </c>
      <c r="P47" s="9">
        <f>O47*20</f>
        <v>22358.194</v>
      </c>
      <c r="Q47" s="9">
        <f>O47*1.23</f>
        <v>1375.0289309999998</v>
      </c>
      <c r="R47" s="9">
        <f>P47*1.23</f>
        <v>27500.57862</v>
      </c>
    </row>
    <row r="48" spans="2:26">
      <c r="I48" s="6" t="s">
        <v>24</v>
      </c>
      <c r="J48" s="7">
        <f>K44</f>
        <v>3443.27</v>
      </c>
      <c r="K48" s="7">
        <f>L44</f>
        <v>4235.2221</v>
      </c>
      <c r="L48" s="7">
        <f>M44</f>
        <v>791.95209999999997</v>
      </c>
      <c r="N48" s="18" t="s">
        <v>112</v>
      </c>
      <c r="O48" s="7">
        <f>SUM(K5:O5)</f>
        <v>1117.9096999999999</v>
      </c>
      <c r="P48" s="9">
        <f t="shared" ref="P48" si="10">O48*20</f>
        <v>22358.194</v>
      </c>
      <c r="Q48" s="9">
        <f t="shared" ref="Q48:R49" si="11">O48*1.23</f>
        <v>1375.0289309999998</v>
      </c>
      <c r="R48" s="9">
        <f>P48*1.23</f>
        <v>27500.57862</v>
      </c>
    </row>
    <row r="49" spans="9:18" ht="15.75" thickBot="1">
      <c r="I49" s="64" t="s">
        <v>25</v>
      </c>
      <c r="J49" s="65">
        <f>J47-J48</f>
        <v>-3443.27</v>
      </c>
      <c r="K49" s="65">
        <f>K47-K48</f>
        <v>-4235.2221</v>
      </c>
      <c r="L49" s="65">
        <f>L47-L48</f>
        <v>-791.95209999999997</v>
      </c>
      <c r="N49" s="9" t="s">
        <v>113</v>
      </c>
      <c r="O49" s="38">
        <f>SUM(K6:O6)</f>
        <v>1117.9096999999999</v>
      </c>
      <c r="P49" s="37">
        <f>O49*20</f>
        <v>22358.194</v>
      </c>
      <c r="Q49" s="37">
        <f t="shared" si="11"/>
        <v>1375.0289309999998</v>
      </c>
      <c r="R49" s="37">
        <f t="shared" si="11"/>
        <v>27500.57862</v>
      </c>
    </row>
    <row r="50" spans="9:18" ht="13.5" thickBot="1">
      <c r="O50" s="73" t="s">
        <v>115</v>
      </c>
      <c r="P50" s="75">
        <f>SUM(P47:P49)</f>
        <v>67074.581999999995</v>
      </c>
      <c r="Q50" s="74" t="s">
        <v>116</v>
      </c>
      <c r="R50" s="75">
        <f>SUM(R47:R49)</f>
        <v>82501.735860000001</v>
      </c>
    </row>
  </sheetData>
  <mergeCells count="1">
    <mergeCell ref="I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Kalkulacja 4TCAB</vt:lpstr>
      <vt:lpstr>Blok 10,16,18</vt:lpstr>
      <vt:lpstr>Kalkulacja cz.1.</vt:lpstr>
      <vt:lpstr>Kalkulacja cz.2.</vt:lpstr>
      <vt:lpstr>KALKULACJA cz.3</vt:lpstr>
      <vt:lpstr>kalkulacja 100pcs</vt:lpstr>
      <vt:lpstr>Zamówienie</vt:lpstr>
      <vt:lpstr>Kalkulacja cz.3.</vt:lpstr>
      <vt:lpstr>Materiał</vt:lpstr>
      <vt:lpstr>Arkusz2</vt:lpstr>
      <vt:lpstr>Arkusz1</vt:lpstr>
      <vt:lpstr>Blok Nr2</vt:lpstr>
      <vt:lpstr>Blok Nr3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Wadas-Szydl</dc:creator>
  <cp:lastModifiedBy>Karol Wiśniewski</cp:lastModifiedBy>
  <dcterms:created xsi:type="dcterms:W3CDTF">2018-07-06T13:18:51Z</dcterms:created>
  <dcterms:modified xsi:type="dcterms:W3CDTF">2025-12-03T12:24:00Z</dcterms:modified>
</cp:coreProperties>
</file>